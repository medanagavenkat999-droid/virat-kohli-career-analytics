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ats" sheetId="2" state="visible" r:id="rId4"/>
    <sheet name="Data_Dictionary" sheetId="3" state="visible" r:id="rId5"/>
    <sheet name="Sources" sheetId="4" state="visible" r:id="rId6"/>
    <sheet name="Reconcili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<sst xmlns="http://schemas.openxmlformats.org/spreadsheetml/2006/main" count="1151" uniqueCount="213">
  <si>
    <t xml:space="preserve">Virat Kohli Career Statistics - Data Collection</t>
  </si>
  <si>
    <t xml:space="preserve">One consolidated dataset: 176 records covering Tests, ODIs, T20Is and the IPL (collected 24 Oct 2026).</t>
  </si>
  <si>
    <t xml:space="preserve">WHAT IS INSIDE</t>
  </si>
  <si>
    <t xml:space="preserve">Stats - the dataset (one row per record). Section says what the record is: Career, Year, Opponent, Dismissal, Batting Position, Innings Context, Match Result.</t>
  </si>
  <si>
    <t xml:space="preserve">Data_Dictionary - what every column means.</t>
  </si>
  <si>
    <t xml:space="preserve">Sources - where each part of the data came from.</t>
  </si>
  <si>
    <t xml:space="preserve">Reconciliation - formula checks that the parts add up to the career totals.</t>
  </si>
  <si>
    <t xml:space="preserve">COVERAGE</t>
  </si>
  <si>
    <t xml:space="preserve">Career summary for 4 formats | Year-wise runs (Test 2011-2025, ODI 2008-2026, T20I 2010-2024, IPL 2008-2026) | Runs against 18 international teams and 14 IPL teams</t>
  </si>
  <si>
    <t xml:space="preserve">Dismissal types | Batting position | Batting first vs chasing | Match result</t>
  </si>
  <si>
    <t xml:space="preserve">DATA QUALITY (Data_Quality column)</t>
  </si>
  <si>
    <t xml:space="preserve">Exact - read from Statsguru-style screenshots (Test/ODI/T20I career, years, opponents; IPL runs by team; Test position, result, batting-first).</t>
  </si>
  <si>
    <t xml:space="preserve">CSV - IPL career and season rows from the provided CSV, matching public IPL totals (9,336 runs).</t>
  </si>
  <si>
    <t xml:space="preserve">Web - T20I dismissals (Sportskeeda) and IPL dismissals (iplrecords.com).</t>
  </si>
  <si>
    <t xml:space="preserve">Estimate - Test and ODI dismissals, and ODI/T20I/IPL position, innings context and match result splits, from AI-generated text. Not verified.</t>
  </si>
  <si>
    <t xml:space="preserve">KNOWN LIMITS</t>
  </si>
  <si>
    <t xml:space="preserve">Test and ODI dismissal counts do not equal innings minus not outs (see Reconciliation). IPL season and team rows have no innings, not-outs or balls faced. Venues are not included. IPL team full names were inferred from short names.</t>
  </si>
  <si>
    <t xml:space="preserve">Section</t>
  </si>
  <si>
    <t xml:space="preserve">Format</t>
  </si>
  <si>
    <t xml:space="preserve">Format_Group</t>
  </si>
  <si>
    <t xml:space="preserve">Format_Sort</t>
  </si>
  <si>
    <t xml:space="preserve">Year</t>
  </si>
  <si>
    <t xml:space="preserve">Competition</t>
  </si>
  <si>
    <t xml:space="preserve">Opponent</t>
  </si>
  <si>
    <t xml:space="preserve">Opponent_Short</t>
  </si>
  <si>
    <t xml:space="preserve">Category</t>
  </si>
  <si>
    <t xml:space="preserve">Category_Detail</t>
  </si>
  <si>
    <t xml:space="preserve">Category_Sort</t>
  </si>
  <si>
    <t xml:space="preserve">Matches</t>
  </si>
  <si>
    <t xml:space="preserve">Innings</t>
  </si>
  <si>
    <t xml:space="preserve">NotOuts</t>
  </si>
  <si>
    <t xml:space="preserve">Runs</t>
  </si>
  <si>
    <t xml:space="preserve">BallsFaced</t>
  </si>
  <si>
    <t xml:space="preserve">HS_Numeric</t>
  </si>
  <si>
    <t xml:space="preserve">HS_NotOut</t>
  </si>
  <si>
    <t xml:space="preserve">Hundreds</t>
  </si>
  <si>
    <t xml:space="preserve">Fifties</t>
  </si>
  <si>
    <t xml:space="preserve">DoubleHundreds</t>
  </si>
  <si>
    <t xml:space="preserve">Ducks</t>
  </si>
  <si>
    <t xml:space="preserve">Fours</t>
  </si>
  <si>
    <t xml:space="preserve">Sixes</t>
  </si>
  <si>
    <t xml:space="preserve">Dismissal_Count</t>
  </si>
  <si>
    <t xml:space="preserve">Average_Reported</t>
  </si>
  <si>
    <t xml:space="preserve">Data_Quality</t>
  </si>
  <si>
    <t xml:space="preserve">Career</t>
  </si>
  <si>
    <t xml:space="preserve">Test</t>
  </si>
  <si>
    <t xml:space="preserve">International</t>
  </si>
  <si>
    <t xml:space="preserve">Exact</t>
  </si>
  <si>
    <t xml:space="preserve">ODI</t>
  </si>
  <si>
    <t xml:space="preserve">T20I</t>
  </si>
  <si>
    <t xml:space="preserve">IPL</t>
  </si>
  <si>
    <t xml:space="preserve">Franchise</t>
  </si>
  <si>
    <t xml:space="preserve">CSV</t>
  </si>
  <si>
    <t xml:space="preserve">Australia</t>
  </si>
  <si>
    <t xml:space="preserve">Bangladesh</t>
  </si>
  <si>
    <t xml:space="preserve">England</t>
  </si>
  <si>
    <t xml:space="preserve">New Zealand</t>
  </si>
  <si>
    <t xml:space="preserve">South Africa</t>
  </si>
  <si>
    <t xml:space="preserve">Sri Lanka</t>
  </si>
  <si>
    <t xml:space="preserve">West Indies</t>
  </si>
  <si>
    <t xml:space="preserve">Afghanistan</t>
  </si>
  <si>
    <t xml:space="preserve">Ireland</t>
  </si>
  <si>
    <t xml:space="preserve">Nepal</t>
  </si>
  <si>
    <t xml:space="preserve">Netherlands</t>
  </si>
  <si>
    <t xml:space="preserve">Pakistan</t>
  </si>
  <si>
    <t xml:space="preserve">United Arab Emirates</t>
  </si>
  <si>
    <t xml:space="preserve">Zimbabwe</t>
  </si>
  <si>
    <t xml:space="preserve">Hong Kong</t>
  </si>
  <si>
    <t xml:space="preserve">Namibia</t>
  </si>
  <si>
    <t xml:space="preserve">Scotland</t>
  </si>
  <si>
    <t xml:space="preserve">United States</t>
  </si>
  <si>
    <t xml:space="preserve">Punjab Kings</t>
  </si>
  <si>
    <t xml:space="preserve">Kings XI</t>
  </si>
  <si>
    <t xml:space="preserve">Chennai Super Kings</t>
  </si>
  <si>
    <t xml:space="preserve">CSK</t>
  </si>
  <si>
    <t xml:space="preserve">Delhi Capitals</t>
  </si>
  <si>
    <t xml:space="preserve">DC</t>
  </si>
  <si>
    <t xml:space="preserve">Kolkata Knight Riders</t>
  </si>
  <si>
    <t xml:space="preserve">KKR</t>
  </si>
  <si>
    <t xml:space="preserve">Mumbai Indians</t>
  </si>
  <si>
    <t xml:space="preserve">MI</t>
  </si>
  <si>
    <t xml:space="preserve">Rajasthan Royals</t>
  </si>
  <si>
    <t xml:space="preserve">RR</t>
  </si>
  <si>
    <t xml:space="preserve">Sunrisers Hyderabad</t>
  </si>
  <si>
    <t xml:space="preserve">SRH</t>
  </si>
  <si>
    <t xml:space="preserve">Gujarat Titans</t>
  </si>
  <si>
    <t xml:space="preserve">GT</t>
  </si>
  <si>
    <t xml:space="preserve">Deccan Chargers</t>
  </si>
  <si>
    <t xml:space="preserve">Chargers</t>
  </si>
  <si>
    <t xml:space="preserve">Gujarat Lions</t>
  </si>
  <si>
    <t xml:space="preserve">Guj Lions</t>
  </si>
  <si>
    <t xml:space="preserve">Rising Pune Supergiant</t>
  </si>
  <si>
    <t xml:space="preserve">Supergiants</t>
  </si>
  <si>
    <t xml:space="preserve">Lucknow Super Giants</t>
  </si>
  <si>
    <t xml:space="preserve">LSG</t>
  </si>
  <si>
    <t xml:space="preserve">Pune Warriors India</t>
  </si>
  <si>
    <t xml:space="preserve">Warriors</t>
  </si>
  <si>
    <t xml:space="preserve">Kochi Tuskers Kerala</t>
  </si>
  <si>
    <t xml:space="preserve">Kochi</t>
  </si>
  <si>
    <t xml:space="preserve">Dismissal</t>
  </si>
  <si>
    <t xml:space="preserve">Caught</t>
  </si>
  <si>
    <t xml:space="preserve">Estimate</t>
  </si>
  <si>
    <t xml:space="preserve">Bowled</t>
  </si>
  <si>
    <t xml:space="preserve">LBW</t>
  </si>
  <si>
    <t xml:space="preserve">Run Out</t>
  </si>
  <si>
    <t xml:space="preserve">Stumped</t>
  </si>
  <si>
    <t xml:space="preserve">Hit Wicket</t>
  </si>
  <si>
    <t xml:space="preserve">Web</t>
  </si>
  <si>
    <t xml:space="preserve">Not Itemized</t>
  </si>
  <si>
    <t xml:space="preserve">Batting Position</t>
  </si>
  <si>
    <t xml:space="preserve">No. 3</t>
  </si>
  <si>
    <t xml:space="preserve">No. 4</t>
  </si>
  <si>
    <t xml:space="preserve">No. 5</t>
  </si>
  <si>
    <t xml:space="preserve">No. 6</t>
  </si>
  <si>
    <t xml:space="preserve">No. 7</t>
  </si>
  <si>
    <t xml:space="preserve">Opening</t>
  </si>
  <si>
    <t xml:space="preserve">No. 5–7</t>
  </si>
  <si>
    <t xml:space="preserve">No. 4–6</t>
  </si>
  <si>
    <t xml:space="preserve">Innings Context</t>
  </si>
  <si>
    <t xml:space="preserve">Batting First</t>
  </si>
  <si>
    <t xml:space="preserve">Team batted first</t>
  </si>
  <si>
    <t xml:space="preserve">Chasing</t>
  </si>
  <si>
    <t xml:space="preserve">Team fielded first</t>
  </si>
  <si>
    <t xml:space="preserve">Batting first</t>
  </si>
  <si>
    <t xml:space="preserve">Match Result</t>
  </si>
  <si>
    <t xml:space="preserve">Won</t>
  </si>
  <si>
    <t xml:space="preserve">Wins</t>
  </si>
  <si>
    <t xml:space="preserve">Lost</t>
  </si>
  <si>
    <t xml:space="preserve">Losses</t>
  </si>
  <si>
    <t xml:space="preserve">Drawn / NR</t>
  </si>
  <si>
    <t xml:space="preserve">Draws</t>
  </si>
  <si>
    <t xml:space="preserve">Losses/Tied/No Result</t>
  </si>
  <si>
    <t xml:space="preserve">Column</t>
  </si>
  <si>
    <t xml:space="preserve">Meaning</t>
  </si>
  <si>
    <t xml:space="preserve">Used in sections</t>
  </si>
  <si>
    <t xml:space="preserve">Type of record</t>
  </si>
  <si>
    <t xml:space="preserve">All</t>
  </si>
  <si>
    <t xml:space="preserve">Test, ODI, T20I or IPL</t>
  </si>
  <si>
    <t xml:space="preserve">International or Franchise</t>
  </si>
  <si>
    <t xml:space="preserve">Sort order for Format</t>
  </si>
  <si>
    <t xml:space="preserve">Calendar year (IPL: season)</t>
  </si>
  <si>
    <t xml:space="preserve">International or IPL</t>
  </si>
  <si>
    <t xml:space="preserve">Opposition team</t>
  </si>
  <si>
    <t xml:space="preserve">Short team name as shown at source</t>
  </si>
  <si>
    <t xml:space="preserve">Dismissal type, batting position, batting first/chasing, or match result</t>
  </si>
  <si>
    <t xml:space="preserve">Dismissal, Batting Position, Innings Context, Match Result</t>
  </si>
  <si>
    <t xml:space="preserve">Original label from the source before grouping</t>
  </si>
  <si>
    <t xml:space="preserve">Splits</t>
  </si>
  <si>
    <t xml:space="preserve">Sort order for Category</t>
  </si>
  <si>
    <t xml:space="preserve">Dismissal and splits</t>
  </si>
  <si>
    <t xml:space="preserve">Matches played</t>
  </si>
  <si>
    <t xml:space="preserve">Career, Year, Opponent</t>
  </si>
  <si>
    <t xml:space="preserve">Innings batted</t>
  </si>
  <si>
    <t xml:space="preserve">Career, Year, Opponent, splits</t>
  </si>
  <si>
    <t xml:space="preserve">Not-out innings</t>
  </si>
  <si>
    <t xml:space="preserve">Runs scored</t>
  </si>
  <si>
    <t xml:space="preserve">Balls faced</t>
  </si>
  <si>
    <t xml:space="preserve">Highest score as a number</t>
  </si>
  <si>
    <t xml:space="preserve">1 if the highest score was not out</t>
  </si>
  <si>
    <t xml:space="preserve">Centuries</t>
  </si>
  <si>
    <t xml:space="preserve">Half-centuries</t>
  </si>
  <si>
    <t xml:space="preserve">Double centuries</t>
  </si>
  <si>
    <t xml:space="preserve">Dismissals for 0</t>
  </si>
  <si>
    <t xml:space="preserve">Fours hit</t>
  </si>
  <si>
    <t xml:space="preserve">Sixes hit</t>
  </si>
  <si>
    <t xml:space="preserve">Number of dismissals of this type</t>
  </si>
  <si>
    <t xml:space="preserve">Batting average as stated or computed at source</t>
  </si>
  <si>
    <t xml:space="preserve">Exact, CSV, Web or Estimate</t>
  </si>
  <si>
    <t xml:space="preserve">Data</t>
  </si>
  <si>
    <t xml:space="preserve">Source</t>
  </si>
  <si>
    <t xml:space="preserve">Quality</t>
  </si>
  <si>
    <t xml:space="preserve">Note</t>
  </si>
  <si>
    <t xml:space="preserve">Test, ODI, T20I career, year-wise and versus-team tables</t>
  </si>
  <si>
    <t xml:space="preserve">Statsguru-style player page screenshots (supplied)</t>
  </si>
  <si>
    <t xml:space="preserve">Totals tie to career figures</t>
  </si>
  <si>
    <t xml:space="preserve">Test host country, home/away/neutral</t>
  </si>
  <si>
    <t xml:space="preserve">Same screenshots</t>
  </si>
  <si>
    <t xml:space="preserve">Not in the final table</t>
  </si>
  <si>
    <t xml:space="preserve">Test batting position, result, batting first/fielding first</t>
  </si>
  <si>
    <t xml:space="preserve">IPL runs against each bowling team</t>
  </si>
  <si>
    <t xml:space="preserve">IPL player page screenshot (supplied)</t>
  </si>
  <si>
    <t xml:space="preserve">14 teams, total 9,336 runs; full team names inferred</t>
  </si>
  <si>
    <t xml:space="preserve">IPL career and season rows</t>
  </si>
  <si>
    <t xml:space="preserve">Provided CSV; matches iplrecords.com totals (9,336 runs, 275 innings, 844 fours, 316 sixes)</t>
  </si>
  <si>
    <t xml:space="preserve">T20I dismissal types</t>
  </si>
  <si>
    <t xml:space="preserve">https://www.sportskeeda.com/cricket/virat-kohli-t20i-dismissal-modes-overview-how-many-times-bowled-lbw-caught</t>
  </si>
  <si>
    <t xml:space="preserve">Caught includes caught behind; total 86</t>
  </si>
  <si>
    <t xml:space="preserve">IPL dismissal types</t>
  </si>
  <si>
    <t xml:space="preserve">https://iplrecords.com/players/virat-kohli</t>
  </si>
  <si>
    <t xml:space="preserve">Caught includes caught and bowled; 5 dismissals not itemized at source</t>
  </si>
  <si>
    <t xml:space="preserve">Test and ODI dismissal types</t>
  </si>
  <si>
    <t xml:space="preserve">AI-generated text (supplied)</t>
  </si>
  <si>
    <t xml:space="preserve">Do not match real totals; ODI figures resemble early-2023 data</t>
  </si>
  <si>
    <t xml:space="preserve">ODI/T20I/IPL batting position, innings context, match result</t>
  </si>
  <si>
    <t xml:space="preserve">Lower bound of '~' and '+' values used</t>
  </si>
  <si>
    <t xml:space="preserve">ODI chasing check (not used)</t>
  </si>
  <si>
    <t xml:space="preserve">https://gulfnews.com/sport/cricket/why-virat-kohli-is-the-chase-master-45-of-his-odi-hundreds-came-in-successful-chases-1.500690174</t>
  </si>
  <si>
    <t xml:space="preserve">Reference</t>
  </si>
  <si>
    <t xml:space="preserve">8,638 runs, 30 hundreds, 45 fifties chasing; conflicts with the estimate row</t>
  </si>
  <si>
    <t xml:space="preserve">Checks use formulas on the Stats sheet. OK means the parts add up to the career figure.</t>
  </si>
  <si>
    <t xml:space="preserve">Career runs</t>
  </si>
  <si>
    <t xml:space="preserve">Year-wise runs</t>
  </si>
  <si>
    <t xml:space="preserve">Opponent runs</t>
  </si>
  <si>
    <t xml:space="preserve">Year diff</t>
  </si>
  <si>
    <t xml:space="preserve">Opponent diff</t>
  </si>
  <si>
    <t xml:space="preserve">Status</t>
  </si>
  <si>
    <t xml:space="preserve">Total</t>
  </si>
  <si>
    <t xml:space="preserve">Career matches</t>
  </si>
  <si>
    <t xml:space="preserve">Year-wise matches</t>
  </si>
  <si>
    <t xml:space="preserve">Difference</t>
  </si>
  <si>
    <t xml:space="preserve">Innings minus not outs</t>
  </si>
  <si>
    <t xml:space="preserve">Dismissal types total</t>
  </si>
  <si>
    <t xml:space="preserve">Source of dismissals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</si>
</sst>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tats" displayName="Stats" ref="A1:AA177" headerRowCount="1" totalsRowCount="0" totalsRowShown="0">
  <autoFilter ref="A1:AA177"/>
  <tableColumns count="27">
    <tableColumn id="1" name="Section"/>
    <tableColumn id="2" name="Format"/>
    <tableColumn id="3" name="Format_Group"/>
    <tableColumn id="4" name="Format_Sort"/>
    <tableColumn id="5" name="Year"/>
    <tableColumn id="6" name="Competition"/>
    <tableColumn id="7" name="Opponent"/>
    <tableColumn id="8" name="Opponent_Short"/>
    <tableColumn id="9" name="Category"/>
    <tableColumn id="10" name="Category_Detail"/>
    <tableColumn id="11" name="Category_Sort"/>
    <tableColumn id="12" name="Matches"/>
    <tableColumn id="13" name="Innings"/>
    <tableColumn id="14" name="NotOuts"/>
    <tableColumn id="15" name="Runs"/>
    <tableColumn id="16" name="BallsFaced"/>
    <tableColumn id="17" name="HS_Numeric"/>
    <tableColumn id="18" name="HS_NotOut"/>
    <tableColumn id="19" name="Hundreds"/>
    <tableColumn id="20" name="Fifties"/>
    <tableColumn id="21" name="DoubleHundreds"/>
    <tableColumn id="22" name="Ducks"/>
    <tableColumn id="23" name="Fours"/>
    <tableColumn id="24" name="Sixes"/>
    <tableColumn id="25" name="Dismissal_Count"/>
    <tableColumn id="26" name="Average_Reported"/>
    <tableColumn id="27" name="Data_Qual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26.8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6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26.85" hidden="false" customHeight="false" outlineLevel="0" collapsed="false">
      <c r="A22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5" min="12" style="0" width="12"/>
    <col collapsed="false" customWidth="true" hidden="false" outlineLevel="0" max="17" min="16" style="0" width="13"/>
    <col collapsed="false" customWidth="true" hidden="false" outlineLevel="0" max="20" min="18" style="0" width="12"/>
    <col collapsed="false" customWidth="true" hidden="false" outlineLevel="0" max="21" min="21" style="0" width="17"/>
    <col collapsed="false" customWidth="true" hidden="false" outlineLevel="0" max="24" min="22" style="0" width="12"/>
    <col collapsed="false" customWidth="true" hidden="false" outlineLevel="0" max="25" min="25" style="0" width="18"/>
    <col collapsed="false" customWidth="true" hidden="false" outlineLevel="0" max="26" min="26" style="0" width="19"/>
    <col collapsed="false" customWidth="true" hidden="false" outlineLevel="0" max="27" min="27" style="0" width="15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</row>
    <row r="2" customFormat="false" ht="15" hidden="false" customHeight="false" outlineLevel="0" collapsed="false">
      <c r="A2" s="0" t="s">
        <v>44</v>
      </c>
      <c r="B2" s="0" t="s">
        <v>45</v>
      </c>
      <c r="C2" s="0" t="s">
        <v>46</v>
      </c>
      <c r="D2" s="0" t="n">
        <v>1</v>
      </c>
      <c r="L2" s="0" t="n">
        <v>123</v>
      </c>
      <c r="M2" s="0" t="n">
        <v>210</v>
      </c>
      <c r="N2" s="0" t="n">
        <v>13</v>
      </c>
      <c r="O2" s="0" t="n">
        <v>9230</v>
      </c>
      <c r="P2" s="0" t="n">
        <v>16608</v>
      </c>
      <c r="Q2" s="0" t="n">
        <v>254</v>
      </c>
      <c r="R2" s="0" t="n">
        <v>1</v>
      </c>
      <c r="S2" s="0" t="n">
        <v>30</v>
      </c>
      <c r="T2" s="0" t="n">
        <v>31</v>
      </c>
      <c r="U2" s="0" t="n">
        <v>7</v>
      </c>
      <c r="V2" s="0" t="n">
        <v>15</v>
      </c>
      <c r="W2" s="0" t="n">
        <v>1027</v>
      </c>
      <c r="X2" s="0" t="n">
        <v>30</v>
      </c>
      <c r="AA2" s="0" t="s">
        <v>47</v>
      </c>
    </row>
    <row r="3" customFormat="false" ht="15" hidden="false" customHeight="false" outlineLevel="0" collapsed="false">
      <c r="A3" s="0" t="s">
        <v>44</v>
      </c>
      <c r="B3" s="0" t="s">
        <v>48</v>
      </c>
      <c r="C3" s="0" t="s">
        <v>46</v>
      </c>
      <c r="D3" s="0" t="n">
        <v>2</v>
      </c>
      <c r="L3" s="0" t="n">
        <v>317</v>
      </c>
      <c r="M3" s="0" t="n">
        <v>305</v>
      </c>
      <c r="N3" s="0" t="n">
        <v>48</v>
      </c>
      <c r="O3" s="0" t="n">
        <v>15109</v>
      </c>
      <c r="P3" s="0" t="n">
        <v>16011</v>
      </c>
      <c r="Q3" s="0" t="n">
        <v>183</v>
      </c>
      <c r="R3" s="0" t="n">
        <v>0</v>
      </c>
      <c r="S3" s="0" t="n">
        <v>55</v>
      </c>
      <c r="T3" s="0" t="n">
        <v>79</v>
      </c>
      <c r="U3" s="0" t="n">
        <v>0</v>
      </c>
      <c r="V3" s="0" t="n">
        <v>19</v>
      </c>
      <c r="W3" s="0" t="n">
        <v>1402</v>
      </c>
      <c r="X3" s="0" t="n">
        <v>181</v>
      </c>
      <c r="AA3" s="0" t="s">
        <v>47</v>
      </c>
    </row>
    <row r="4" customFormat="false" ht="15" hidden="false" customHeight="false" outlineLevel="0" collapsed="false">
      <c r="A4" s="0" t="s">
        <v>44</v>
      </c>
      <c r="B4" s="0" t="s">
        <v>49</v>
      </c>
      <c r="C4" s="0" t="s">
        <v>46</v>
      </c>
      <c r="D4" s="0" t="n">
        <v>3</v>
      </c>
      <c r="L4" s="0" t="n">
        <v>125</v>
      </c>
      <c r="M4" s="0" t="n">
        <v>117</v>
      </c>
      <c r="N4" s="0" t="n">
        <v>31</v>
      </c>
      <c r="O4" s="0" t="n">
        <v>4188</v>
      </c>
      <c r="P4" s="0" t="n">
        <v>3056</v>
      </c>
      <c r="Q4" s="0" t="n">
        <v>122</v>
      </c>
      <c r="R4" s="0" t="n">
        <v>1</v>
      </c>
      <c r="S4" s="0" t="n">
        <v>1</v>
      </c>
      <c r="T4" s="0" t="n">
        <v>38</v>
      </c>
      <c r="U4" s="0" t="n">
        <v>0</v>
      </c>
      <c r="V4" s="0" t="n">
        <v>7</v>
      </c>
      <c r="W4" s="0" t="n">
        <v>369</v>
      </c>
      <c r="X4" s="0" t="n">
        <v>124</v>
      </c>
      <c r="AA4" s="0" t="s">
        <v>47</v>
      </c>
    </row>
    <row r="5" customFormat="false" ht="15" hidden="false" customHeight="false" outlineLevel="0" collapsed="false">
      <c r="A5" s="0" t="s">
        <v>44</v>
      </c>
      <c r="B5" s="0" t="s">
        <v>50</v>
      </c>
      <c r="C5" s="0" t="s">
        <v>51</v>
      </c>
      <c r="D5" s="0" t="n">
        <v>4</v>
      </c>
      <c r="L5" s="0" t="n">
        <v>283</v>
      </c>
      <c r="M5" s="0" t="n">
        <v>275</v>
      </c>
      <c r="N5" s="0" t="n">
        <v>44</v>
      </c>
      <c r="O5" s="0" t="n">
        <v>9336</v>
      </c>
      <c r="P5" s="0" t="n">
        <v>6926</v>
      </c>
      <c r="Q5" s="0" t="n">
        <v>113</v>
      </c>
      <c r="R5" s="0" t="n">
        <v>1</v>
      </c>
      <c r="S5" s="0" t="n">
        <v>9</v>
      </c>
      <c r="T5" s="0" t="n">
        <v>68</v>
      </c>
      <c r="U5" s="0" t="n">
        <v>0</v>
      </c>
      <c r="V5" s="0" t="n">
        <v>12</v>
      </c>
      <c r="W5" s="0" t="n">
        <v>844</v>
      </c>
      <c r="X5" s="0" t="n">
        <v>316</v>
      </c>
      <c r="AA5" s="0" t="s">
        <v>52</v>
      </c>
    </row>
    <row r="6" customFormat="false" ht="15" hidden="false" customHeight="false" outlineLevel="0" collapsed="false">
      <c r="A6" s="0" t="s">
        <v>21</v>
      </c>
      <c r="B6" s="0" t="s">
        <v>45</v>
      </c>
      <c r="C6" s="0" t="s">
        <v>46</v>
      </c>
      <c r="D6" s="0" t="n">
        <v>1</v>
      </c>
      <c r="E6" s="0" t="n">
        <v>2011</v>
      </c>
      <c r="L6" s="0" t="n">
        <v>5</v>
      </c>
      <c r="M6" s="0" t="n">
        <v>9</v>
      </c>
      <c r="N6" s="0" t="n">
        <v>0</v>
      </c>
      <c r="O6" s="0" t="n">
        <v>202</v>
      </c>
      <c r="P6" s="0" t="n">
        <v>473</v>
      </c>
      <c r="Q6" s="0" t="n">
        <v>63</v>
      </c>
      <c r="R6" s="0" t="n">
        <v>0</v>
      </c>
      <c r="S6" s="0" t="n">
        <v>0</v>
      </c>
      <c r="T6" s="0" t="n">
        <v>2</v>
      </c>
      <c r="V6" s="0" t="n">
        <v>2</v>
      </c>
      <c r="W6" s="0" t="n">
        <v>15</v>
      </c>
      <c r="X6" s="0" t="n">
        <v>2</v>
      </c>
      <c r="AA6" s="0" t="s">
        <v>47</v>
      </c>
    </row>
    <row r="7" customFormat="false" ht="15" hidden="false" customHeight="false" outlineLevel="0" collapsed="false">
      <c r="A7" s="0" t="s">
        <v>21</v>
      </c>
      <c r="B7" s="0" t="s">
        <v>45</v>
      </c>
      <c r="C7" s="0" t="s">
        <v>46</v>
      </c>
      <c r="D7" s="0" t="n">
        <v>1</v>
      </c>
      <c r="E7" s="0" t="n">
        <v>2012</v>
      </c>
      <c r="L7" s="0" t="n">
        <v>9</v>
      </c>
      <c r="M7" s="0" t="n">
        <v>16</v>
      </c>
      <c r="N7" s="0" t="n">
        <v>2</v>
      </c>
      <c r="O7" s="0" t="n">
        <v>689</v>
      </c>
      <c r="P7" s="0" t="n">
        <v>1474</v>
      </c>
      <c r="Q7" s="0" t="n">
        <v>116</v>
      </c>
      <c r="R7" s="0" t="n">
        <v>0</v>
      </c>
      <c r="S7" s="0" t="n">
        <v>3</v>
      </c>
      <c r="T7" s="0" t="n">
        <v>3</v>
      </c>
      <c r="V7" s="0" t="n">
        <v>0</v>
      </c>
      <c r="W7" s="0" t="n">
        <v>89</v>
      </c>
      <c r="X7" s="0" t="n">
        <v>2</v>
      </c>
      <c r="AA7" s="0" t="s">
        <v>47</v>
      </c>
    </row>
    <row r="8" customFormat="false" ht="15" hidden="false" customHeight="false" outlineLevel="0" collapsed="false">
      <c r="A8" s="0" t="s">
        <v>21</v>
      </c>
      <c r="B8" s="0" t="s">
        <v>45</v>
      </c>
      <c r="C8" s="0" t="s">
        <v>46</v>
      </c>
      <c r="D8" s="0" t="n">
        <v>1</v>
      </c>
      <c r="E8" s="0" t="n">
        <v>2013</v>
      </c>
      <c r="L8" s="0" t="n">
        <v>8</v>
      </c>
      <c r="M8" s="0" t="n">
        <v>12</v>
      </c>
      <c r="N8" s="0" t="n">
        <v>1</v>
      </c>
      <c r="O8" s="0" t="n">
        <v>616</v>
      </c>
      <c r="P8" s="0" t="n">
        <v>1127</v>
      </c>
      <c r="Q8" s="0" t="n">
        <v>119</v>
      </c>
      <c r="R8" s="0" t="n">
        <v>0</v>
      </c>
      <c r="S8" s="0" t="n">
        <v>2</v>
      </c>
      <c r="T8" s="0" t="n">
        <v>3</v>
      </c>
      <c r="V8" s="0" t="n">
        <v>0</v>
      </c>
      <c r="W8" s="0" t="n">
        <v>73</v>
      </c>
      <c r="X8" s="0" t="n">
        <v>2</v>
      </c>
      <c r="AA8" s="0" t="s">
        <v>47</v>
      </c>
    </row>
    <row r="9" customFormat="false" ht="15" hidden="false" customHeight="false" outlineLevel="0" collapsed="false">
      <c r="A9" s="0" t="s">
        <v>21</v>
      </c>
      <c r="B9" s="0" t="s">
        <v>45</v>
      </c>
      <c r="C9" s="0" t="s">
        <v>46</v>
      </c>
      <c r="D9" s="0" t="n">
        <v>1</v>
      </c>
      <c r="E9" s="0" t="n">
        <v>2014</v>
      </c>
      <c r="L9" s="0" t="n">
        <v>10</v>
      </c>
      <c r="M9" s="0" t="n">
        <v>20</v>
      </c>
      <c r="N9" s="0" t="n">
        <v>1</v>
      </c>
      <c r="O9" s="0" t="n">
        <v>847</v>
      </c>
      <c r="P9" s="0" t="n">
        <v>1399</v>
      </c>
      <c r="Q9" s="0" t="n">
        <v>169</v>
      </c>
      <c r="R9" s="0" t="n">
        <v>0</v>
      </c>
      <c r="S9" s="0" t="n">
        <v>4</v>
      </c>
      <c r="T9" s="0" t="n">
        <v>2</v>
      </c>
      <c r="V9" s="0" t="n">
        <v>2</v>
      </c>
      <c r="W9" s="0" t="n">
        <v>101</v>
      </c>
      <c r="X9" s="0" t="n">
        <v>2</v>
      </c>
      <c r="AA9" s="0" t="s">
        <v>47</v>
      </c>
    </row>
    <row r="10" customFormat="false" ht="15" hidden="false" customHeight="false" outlineLevel="0" collapsed="false">
      <c r="A10" s="0" t="s">
        <v>21</v>
      </c>
      <c r="B10" s="0" t="s">
        <v>45</v>
      </c>
      <c r="C10" s="0" t="s">
        <v>46</v>
      </c>
      <c r="D10" s="0" t="n">
        <v>1</v>
      </c>
      <c r="E10" s="0" t="n">
        <v>2015</v>
      </c>
      <c r="L10" s="0" t="n">
        <v>9</v>
      </c>
      <c r="M10" s="0" t="n">
        <v>15</v>
      </c>
      <c r="N10" s="0" t="n">
        <v>0</v>
      </c>
      <c r="O10" s="0" t="n">
        <v>640</v>
      </c>
      <c r="P10" s="0" t="n">
        <v>1184</v>
      </c>
      <c r="Q10" s="0" t="n">
        <v>147</v>
      </c>
      <c r="R10" s="0" t="n">
        <v>0</v>
      </c>
      <c r="S10" s="0" t="n">
        <v>2</v>
      </c>
      <c r="T10" s="0" t="n">
        <v>2</v>
      </c>
      <c r="V10" s="0" t="n">
        <v>0</v>
      </c>
      <c r="W10" s="0" t="n">
        <v>74</v>
      </c>
      <c r="X10" s="0" t="n">
        <v>1</v>
      </c>
      <c r="AA10" s="0" t="s">
        <v>47</v>
      </c>
    </row>
    <row r="11" customFormat="false" ht="15" hidden="false" customHeight="false" outlineLevel="0" collapsed="false">
      <c r="A11" s="0" t="s">
        <v>21</v>
      </c>
      <c r="B11" s="0" t="s">
        <v>45</v>
      </c>
      <c r="C11" s="0" t="s">
        <v>46</v>
      </c>
      <c r="D11" s="0" t="n">
        <v>1</v>
      </c>
      <c r="E11" s="0" t="n">
        <v>2016</v>
      </c>
      <c r="L11" s="0" t="n">
        <v>12</v>
      </c>
      <c r="M11" s="0" t="n">
        <v>18</v>
      </c>
      <c r="N11" s="0" t="n">
        <v>2</v>
      </c>
      <c r="O11" s="0" t="n">
        <v>1215</v>
      </c>
      <c r="P11" s="0" t="n">
        <v>2011</v>
      </c>
      <c r="Q11" s="0" t="n">
        <v>235</v>
      </c>
      <c r="R11" s="0" t="n">
        <v>0</v>
      </c>
      <c r="S11" s="0" t="n">
        <v>4</v>
      </c>
      <c r="T11" s="0" t="n">
        <v>2</v>
      </c>
      <c r="V11" s="0" t="n">
        <v>0</v>
      </c>
      <c r="W11" s="0" t="n">
        <v>134</v>
      </c>
      <c r="X11" s="0" t="n">
        <v>2</v>
      </c>
      <c r="AA11" s="0" t="s">
        <v>47</v>
      </c>
    </row>
    <row r="12" customFormat="false" ht="15" hidden="false" customHeight="false" outlineLevel="0" collapsed="false">
      <c r="A12" s="0" t="s">
        <v>21</v>
      </c>
      <c r="B12" s="0" t="s">
        <v>45</v>
      </c>
      <c r="C12" s="0" t="s">
        <v>46</v>
      </c>
      <c r="D12" s="0" t="n">
        <v>1</v>
      </c>
      <c r="E12" s="0" t="n">
        <v>2017</v>
      </c>
      <c r="L12" s="0" t="n">
        <v>10</v>
      </c>
      <c r="M12" s="0" t="n">
        <v>16</v>
      </c>
      <c r="N12" s="0" t="n">
        <v>2</v>
      </c>
      <c r="O12" s="0" t="n">
        <v>1059</v>
      </c>
      <c r="P12" s="0" t="n">
        <v>1389</v>
      </c>
      <c r="Q12" s="0" t="n">
        <v>243</v>
      </c>
      <c r="R12" s="0" t="n">
        <v>0</v>
      </c>
      <c r="S12" s="0" t="n">
        <v>5</v>
      </c>
      <c r="T12" s="0" t="n">
        <v>1</v>
      </c>
      <c r="V12" s="0" t="n">
        <v>2</v>
      </c>
      <c r="W12" s="0" t="n">
        <v>97</v>
      </c>
      <c r="X12" s="0" t="n">
        <v>6</v>
      </c>
      <c r="AA12" s="0" t="s">
        <v>47</v>
      </c>
    </row>
    <row r="13" customFormat="false" ht="15" hidden="false" customHeight="false" outlineLevel="0" collapsed="false">
      <c r="A13" s="0" t="s">
        <v>21</v>
      </c>
      <c r="B13" s="0" t="s">
        <v>45</v>
      </c>
      <c r="C13" s="0" t="s">
        <v>46</v>
      </c>
      <c r="D13" s="0" t="n">
        <v>1</v>
      </c>
      <c r="E13" s="0" t="n">
        <v>2018</v>
      </c>
      <c r="L13" s="0" t="n">
        <v>13</v>
      </c>
      <c r="M13" s="0" t="n">
        <v>24</v>
      </c>
      <c r="N13" s="0" t="n">
        <v>0</v>
      </c>
      <c r="O13" s="0" t="n">
        <v>1322</v>
      </c>
      <c r="P13" s="0" t="n">
        <v>2433</v>
      </c>
      <c r="Q13" s="0" t="n">
        <v>153</v>
      </c>
      <c r="R13" s="0" t="n">
        <v>0</v>
      </c>
      <c r="S13" s="0" t="n">
        <v>5</v>
      </c>
      <c r="T13" s="0" t="n">
        <v>5</v>
      </c>
      <c r="V13" s="0" t="n">
        <v>2</v>
      </c>
      <c r="W13" s="0" t="n">
        <v>144</v>
      </c>
      <c r="X13" s="0" t="n">
        <v>2</v>
      </c>
      <c r="AA13" s="0" t="s">
        <v>47</v>
      </c>
    </row>
    <row r="14" customFormat="false" ht="15" hidden="false" customHeight="false" outlineLevel="0" collapsed="false">
      <c r="A14" s="0" t="s">
        <v>21</v>
      </c>
      <c r="B14" s="0" t="s">
        <v>45</v>
      </c>
      <c r="C14" s="0" t="s">
        <v>46</v>
      </c>
      <c r="D14" s="0" t="n">
        <v>1</v>
      </c>
      <c r="E14" s="0" t="n">
        <v>2019</v>
      </c>
      <c r="L14" s="0" t="n">
        <v>8</v>
      </c>
      <c r="M14" s="0" t="n">
        <v>11</v>
      </c>
      <c r="N14" s="0" t="n">
        <v>2</v>
      </c>
      <c r="O14" s="0" t="n">
        <v>612</v>
      </c>
      <c r="P14" s="0" t="n">
        <v>967</v>
      </c>
      <c r="Q14" s="0" t="n">
        <v>254</v>
      </c>
      <c r="R14" s="0" t="n">
        <v>1</v>
      </c>
      <c r="S14" s="0" t="n">
        <v>2</v>
      </c>
      <c r="T14" s="0" t="n">
        <v>2</v>
      </c>
      <c r="V14" s="0" t="n">
        <v>2</v>
      </c>
      <c r="W14" s="0" t="n">
        <v>78</v>
      </c>
      <c r="X14" s="0" t="n">
        <v>3</v>
      </c>
      <c r="AA14" s="0" t="s">
        <v>47</v>
      </c>
    </row>
    <row r="15" customFormat="false" ht="15" hidden="false" customHeight="false" outlineLevel="0" collapsed="false">
      <c r="A15" s="0" t="s">
        <v>21</v>
      </c>
      <c r="B15" s="0" t="s">
        <v>45</v>
      </c>
      <c r="C15" s="0" t="s">
        <v>46</v>
      </c>
      <c r="D15" s="0" t="n">
        <v>1</v>
      </c>
      <c r="E15" s="0" t="n">
        <v>2020</v>
      </c>
      <c r="L15" s="0" t="n">
        <v>3</v>
      </c>
      <c r="M15" s="0" t="n">
        <v>6</v>
      </c>
      <c r="N15" s="0" t="n">
        <v>0</v>
      </c>
      <c r="O15" s="0" t="n">
        <v>116</v>
      </c>
      <c r="P15" s="0" t="n">
        <v>283</v>
      </c>
      <c r="Q15" s="0" t="n">
        <v>74</v>
      </c>
      <c r="R15" s="0" t="n">
        <v>0</v>
      </c>
      <c r="S15" s="0" t="n">
        <v>0</v>
      </c>
      <c r="T15" s="0" t="n">
        <v>1</v>
      </c>
      <c r="V15" s="0" t="n">
        <v>0</v>
      </c>
      <c r="W15" s="0" t="n">
        <v>15</v>
      </c>
      <c r="X15" s="0" t="n">
        <v>0</v>
      </c>
      <c r="AA15" s="0" t="s">
        <v>47</v>
      </c>
    </row>
    <row r="16" customFormat="false" ht="15" hidden="false" customHeight="false" outlineLevel="0" collapsed="false">
      <c r="A16" s="0" t="s">
        <v>21</v>
      </c>
      <c r="B16" s="0" t="s">
        <v>45</v>
      </c>
      <c r="C16" s="0" t="s">
        <v>46</v>
      </c>
      <c r="D16" s="0" t="n">
        <v>1</v>
      </c>
      <c r="E16" s="0" t="n">
        <v>2021</v>
      </c>
      <c r="L16" s="0" t="n">
        <v>11</v>
      </c>
      <c r="M16" s="0" t="n">
        <v>19</v>
      </c>
      <c r="N16" s="0" t="n">
        <v>0</v>
      </c>
      <c r="O16" s="0" t="n">
        <v>536</v>
      </c>
      <c r="P16" s="0" t="n">
        <v>1216</v>
      </c>
      <c r="Q16" s="0" t="n">
        <v>72</v>
      </c>
      <c r="R16" s="0" t="n">
        <v>0</v>
      </c>
      <c r="S16" s="0" t="n">
        <v>0</v>
      </c>
      <c r="T16" s="0" t="n">
        <v>4</v>
      </c>
      <c r="V16" s="0" t="n">
        <v>4</v>
      </c>
      <c r="W16" s="0" t="n">
        <v>60</v>
      </c>
      <c r="X16" s="0" t="n">
        <v>1</v>
      </c>
      <c r="AA16" s="0" t="s">
        <v>47</v>
      </c>
    </row>
    <row r="17" customFormat="false" ht="15" hidden="false" customHeight="false" outlineLevel="0" collapsed="false">
      <c r="A17" s="0" t="s">
        <v>21</v>
      </c>
      <c r="B17" s="0" t="s">
        <v>45</v>
      </c>
      <c r="C17" s="0" t="s">
        <v>46</v>
      </c>
      <c r="D17" s="0" t="n">
        <v>1</v>
      </c>
      <c r="E17" s="0" t="n">
        <v>2022</v>
      </c>
      <c r="L17" s="0" t="n">
        <v>6</v>
      </c>
      <c r="M17" s="0" t="n">
        <v>11</v>
      </c>
      <c r="N17" s="0" t="n">
        <v>1</v>
      </c>
      <c r="O17" s="0" t="n">
        <v>265</v>
      </c>
      <c r="P17" s="0" t="n">
        <v>672</v>
      </c>
      <c r="Q17" s="0" t="n">
        <v>79</v>
      </c>
      <c r="R17" s="0" t="n">
        <v>0</v>
      </c>
      <c r="S17" s="0" t="n">
        <v>0</v>
      </c>
      <c r="T17" s="0" t="n">
        <v>1</v>
      </c>
      <c r="V17" s="0" t="n">
        <v>0</v>
      </c>
      <c r="W17" s="0" t="n">
        <v>33</v>
      </c>
      <c r="X17" s="0" t="n">
        <v>1</v>
      </c>
      <c r="AA17" s="0" t="s">
        <v>47</v>
      </c>
    </row>
    <row r="18" customFormat="false" ht="15" hidden="false" customHeight="false" outlineLevel="0" collapsed="false">
      <c r="A18" s="0" t="s">
        <v>21</v>
      </c>
      <c r="B18" s="0" t="s">
        <v>45</v>
      </c>
      <c r="C18" s="0" t="s">
        <v>46</v>
      </c>
      <c r="D18" s="0" t="n">
        <v>1</v>
      </c>
      <c r="E18" s="0" t="n">
        <v>2023</v>
      </c>
      <c r="L18" s="0" t="n">
        <v>8</v>
      </c>
      <c r="M18" s="0" t="n">
        <v>12</v>
      </c>
      <c r="N18" s="0" t="n">
        <v>0</v>
      </c>
      <c r="O18" s="0" t="n">
        <v>671</v>
      </c>
      <c r="P18" s="0" t="n">
        <v>1226</v>
      </c>
      <c r="Q18" s="0" t="n">
        <v>186</v>
      </c>
      <c r="R18" s="0" t="n">
        <v>0</v>
      </c>
      <c r="S18" s="0" t="n">
        <v>2</v>
      </c>
      <c r="T18" s="0" t="n">
        <v>2</v>
      </c>
      <c r="V18" s="0" t="n">
        <v>0</v>
      </c>
      <c r="W18" s="0" t="n">
        <v>70</v>
      </c>
      <c r="X18" s="0" t="n">
        <v>1</v>
      </c>
      <c r="AA18" s="0" t="s">
        <v>47</v>
      </c>
    </row>
    <row r="19" customFormat="false" ht="15" hidden="false" customHeight="false" outlineLevel="0" collapsed="false">
      <c r="A19" s="0" t="s">
        <v>21</v>
      </c>
      <c r="B19" s="0" t="s">
        <v>45</v>
      </c>
      <c r="C19" s="0" t="s">
        <v>46</v>
      </c>
      <c r="D19" s="0" t="n">
        <v>1</v>
      </c>
      <c r="E19" s="0" t="n">
        <v>2024</v>
      </c>
      <c r="L19" s="0" t="n">
        <v>10</v>
      </c>
      <c r="M19" s="0" t="n">
        <v>19</v>
      </c>
      <c r="N19" s="0" t="n">
        <v>2</v>
      </c>
      <c r="O19" s="0" t="n">
        <v>417</v>
      </c>
      <c r="P19" s="0" t="n">
        <v>673</v>
      </c>
      <c r="Q19" s="0" t="n">
        <v>100</v>
      </c>
      <c r="R19" s="0" t="n">
        <v>1</v>
      </c>
      <c r="S19" s="0" t="n">
        <v>1</v>
      </c>
      <c r="T19" s="0" t="n">
        <v>1</v>
      </c>
      <c r="V19" s="0" t="n">
        <v>1</v>
      </c>
      <c r="W19" s="0" t="n">
        <v>43</v>
      </c>
      <c r="X19" s="0" t="n">
        <v>5</v>
      </c>
      <c r="AA19" s="0" t="s">
        <v>47</v>
      </c>
    </row>
    <row r="20" customFormat="false" ht="15" hidden="false" customHeight="false" outlineLevel="0" collapsed="false">
      <c r="A20" s="0" t="s">
        <v>21</v>
      </c>
      <c r="B20" s="0" t="s">
        <v>45</v>
      </c>
      <c r="C20" s="0" t="s">
        <v>46</v>
      </c>
      <c r="D20" s="0" t="n">
        <v>1</v>
      </c>
      <c r="E20" s="0" t="n">
        <v>2025</v>
      </c>
      <c r="L20" s="0" t="n">
        <v>1</v>
      </c>
      <c r="M20" s="0" t="n">
        <v>2</v>
      </c>
      <c r="N20" s="0" t="n">
        <v>0</v>
      </c>
      <c r="O20" s="0" t="n">
        <v>23</v>
      </c>
      <c r="P20" s="0" t="n">
        <v>81</v>
      </c>
      <c r="Q20" s="0" t="n">
        <v>17</v>
      </c>
      <c r="R20" s="0" t="n">
        <v>0</v>
      </c>
      <c r="S20" s="0" t="n">
        <v>0</v>
      </c>
      <c r="T20" s="0" t="n">
        <v>0</v>
      </c>
      <c r="V20" s="0" t="n">
        <v>0</v>
      </c>
      <c r="W20" s="0" t="n">
        <v>1</v>
      </c>
      <c r="X20" s="0" t="n">
        <v>0</v>
      </c>
      <c r="AA20" s="0" t="s">
        <v>47</v>
      </c>
    </row>
    <row r="21" customFormat="false" ht="15" hidden="false" customHeight="false" outlineLevel="0" collapsed="false">
      <c r="A21" s="0" t="s">
        <v>21</v>
      </c>
      <c r="B21" s="0" t="s">
        <v>48</v>
      </c>
      <c r="C21" s="0" t="s">
        <v>46</v>
      </c>
      <c r="D21" s="0" t="n">
        <v>2</v>
      </c>
      <c r="E21" s="0" t="n">
        <v>2008</v>
      </c>
      <c r="L21" s="0" t="n">
        <v>5</v>
      </c>
      <c r="M21" s="0" t="n">
        <v>5</v>
      </c>
      <c r="N21" s="0" t="n">
        <v>0</v>
      </c>
      <c r="O21" s="0" t="n">
        <v>159</v>
      </c>
      <c r="P21" s="0" t="n">
        <v>239</v>
      </c>
      <c r="Q21" s="0" t="n">
        <v>54</v>
      </c>
      <c r="R21" s="0" t="n">
        <v>0</v>
      </c>
      <c r="S21" s="0" t="n">
        <v>0</v>
      </c>
      <c r="T21" s="0" t="n">
        <v>1</v>
      </c>
      <c r="V21" s="0" t="n">
        <v>0</v>
      </c>
      <c r="W21" s="0" t="n">
        <v>21</v>
      </c>
      <c r="X21" s="0" t="n">
        <v>1</v>
      </c>
      <c r="AA21" s="0" t="s">
        <v>47</v>
      </c>
    </row>
    <row r="22" customFormat="false" ht="15" hidden="false" customHeight="false" outlineLevel="0" collapsed="false">
      <c r="A22" s="0" t="s">
        <v>21</v>
      </c>
      <c r="B22" s="0" t="s">
        <v>48</v>
      </c>
      <c r="C22" s="0" t="s">
        <v>46</v>
      </c>
      <c r="D22" s="0" t="n">
        <v>2</v>
      </c>
      <c r="E22" s="0" t="n">
        <v>2009</v>
      </c>
      <c r="L22" s="0" t="n">
        <v>10</v>
      </c>
      <c r="M22" s="0" t="n">
        <v>8</v>
      </c>
      <c r="N22" s="0" t="n">
        <v>2</v>
      </c>
      <c r="O22" s="0" t="n">
        <v>325</v>
      </c>
      <c r="P22" s="0" t="n">
        <v>385</v>
      </c>
      <c r="Q22" s="0" t="n">
        <v>107</v>
      </c>
      <c r="R22" s="0" t="n">
        <v>0</v>
      </c>
      <c r="S22" s="0" t="n">
        <v>1</v>
      </c>
      <c r="T22" s="0" t="n">
        <v>2</v>
      </c>
      <c r="V22" s="0" t="n">
        <v>0</v>
      </c>
      <c r="W22" s="0" t="n">
        <v>36</v>
      </c>
      <c r="X22" s="0" t="n">
        <v>3</v>
      </c>
      <c r="AA22" s="0" t="s">
        <v>47</v>
      </c>
    </row>
    <row r="23" customFormat="false" ht="15" hidden="false" customHeight="false" outlineLevel="0" collapsed="false">
      <c r="A23" s="0" t="s">
        <v>21</v>
      </c>
      <c r="B23" s="0" t="s">
        <v>48</v>
      </c>
      <c r="C23" s="0" t="s">
        <v>46</v>
      </c>
      <c r="D23" s="0" t="n">
        <v>2</v>
      </c>
      <c r="E23" s="0" t="n">
        <v>2010</v>
      </c>
      <c r="L23" s="0" t="n">
        <v>25</v>
      </c>
      <c r="M23" s="0" t="n">
        <v>24</v>
      </c>
      <c r="N23" s="0" t="n">
        <v>3</v>
      </c>
      <c r="O23" s="0" t="n">
        <v>995</v>
      </c>
      <c r="P23" s="0" t="n">
        <v>1169</v>
      </c>
      <c r="Q23" s="0" t="n">
        <v>118</v>
      </c>
      <c r="R23" s="0" t="n">
        <v>0</v>
      </c>
      <c r="S23" s="0" t="n">
        <v>3</v>
      </c>
      <c r="T23" s="0" t="n">
        <v>7</v>
      </c>
      <c r="V23" s="0" t="n">
        <v>3</v>
      </c>
      <c r="W23" s="0" t="n">
        <v>90</v>
      </c>
      <c r="X23" s="0" t="n">
        <v>4</v>
      </c>
      <c r="AA23" s="0" t="s">
        <v>47</v>
      </c>
    </row>
    <row r="24" customFormat="false" ht="15" hidden="false" customHeight="false" outlineLevel="0" collapsed="false">
      <c r="A24" s="0" t="s">
        <v>21</v>
      </c>
      <c r="B24" s="0" t="s">
        <v>48</v>
      </c>
      <c r="C24" s="0" t="s">
        <v>46</v>
      </c>
      <c r="D24" s="0" t="n">
        <v>2</v>
      </c>
      <c r="E24" s="0" t="n">
        <v>2011</v>
      </c>
      <c r="L24" s="0" t="n">
        <v>34</v>
      </c>
      <c r="M24" s="0" t="n">
        <v>34</v>
      </c>
      <c r="N24" s="0" t="n">
        <v>5</v>
      </c>
      <c r="O24" s="0" t="n">
        <v>1381</v>
      </c>
      <c r="P24" s="0" t="n">
        <v>1614</v>
      </c>
      <c r="Q24" s="0" t="n">
        <v>117</v>
      </c>
      <c r="R24" s="0" t="n">
        <v>0</v>
      </c>
      <c r="S24" s="0" t="n">
        <v>4</v>
      </c>
      <c r="T24" s="0" t="n">
        <v>8</v>
      </c>
      <c r="V24" s="0" t="n">
        <v>2</v>
      </c>
      <c r="W24" s="0" t="n">
        <v>127</v>
      </c>
      <c r="X24" s="0" t="n">
        <v>7</v>
      </c>
      <c r="AA24" s="0" t="s">
        <v>47</v>
      </c>
    </row>
    <row r="25" customFormat="false" ht="15" hidden="false" customHeight="false" outlineLevel="0" collapsed="false">
      <c r="A25" s="0" t="s">
        <v>21</v>
      </c>
      <c r="B25" s="0" t="s">
        <v>48</v>
      </c>
      <c r="C25" s="0" t="s">
        <v>46</v>
      </c>
      <c r="D25" s="0" t="n">
        <v>2</v>
      </c>
      <c r="E25" s="0" t="n">
        <v>2012</v>
      </c>
      <c r="L25" s="0" t="n">
        <v>17</v>
      </c>
      <c r="M25" s="0" t="n">
        <v>17</v>
      </c>
      <c r="N25" s="0" t="n">
        <v>2</v>
      </c>
      <c r="O25" s="0" t="n">
        <v>1026</v>
      </c>
      <c r="P25" s="0" t="n">
        <v>1094</v>
      </c>
      <c r="Q25" s="0" t="n">
        <v>183</v>
      </c>
      <c r="R25" s="0" t="n">
        <v>0</v>
      </c>
      <c r="S25" s="0" t="n">
        <v>5</v>
      </c>
      <c r="T25" s="0" t="n">
        <v>3</v>
      </c>
      <c r="V25" s="0" t="n">
        <v>1</v>
      </c>
      <c r="W25" s="0" t="n">
        <v>92</v>
      </c>
      <c r="X25" s="0" t="n">
        <v>5</v>
      </c>
      <c r="AA25" s="0" t="s">
        <v>47</v>
      </c>
    </row>
    <row r="26" customFormat="false" ht="15" hidden="false" customHeight="false" outlineLevel="0" collapsed="false">
      <c r="A26" s="0" t="s">
        <v>21</v>
      </c>
      <c r="B26" s="0" t="s">
        <v>48</v>
      </c>
      <c r="C26" s="0" t="s">
        <v>46</v>
      </c>
      <c r="D26" s="0" t="n">
        <v>2</v>
      </c>
      <c r="E26" s="0" t="n">
        <v>2013</v>
      </c>
      <c r="L26" s="0" t="n">
        <v>34</v>
      </c>
      <c r="M26" s="0" t="n">
        <v>30</v>
      </c>
      <c r="N26" s="0" t="n">
        <v>6</v>
      </c>
      <c r="O26" s="0" t="n">
        <v>1268</v>
      </c>
      <c r="P26" s="0" t="n">
        <v>1300</v>
      </c>
      <c r="Q26" s="0" t="n">
        <v>115</v>
      </c>
      <c r="R26" s="0" t="n">
        <v>1</v>
      </c>
      <c r="S26" s="0" t="n">
        <v>4</v>
      </c>
      <c r="T26" s="0" t="n">
        <v>7</v>
      </c>
      <c r="V26" s="0" t="n">
        <v>3</v>
      </c>
      <c r="W26" s="0" t="n">
        <v>137</v>
      </c>
      <c r="X26" s="0" t="n">
        <v>20</v>
      </c>
      <c r="AA26" s="0" t="s">
        <v>47</v>
      </c>
    </row>
    <row r="27" customFormat="false" ht="15" hidden="false" customHeight="false" outlineLevel="0" collapsed="false">
      <c r="A27" s="0" t="s">
        <v>21</v>
      </c>
      <c r="B27" s="0" t="s">
        <v>48</v>
      </c>
      <c r="C27" s="0" t="s">
        <v>46</v>
      </c>
      <c r="D27" s="0" t="n">
        <v>2</v>
      </c>
      <c r="E27" s="0" t="n">
        <v>2014</v>
      </c>
      <c r="L27" s="0" t="n">
        <v>21</v>
      </c>
      <c r="M27" s="0" t="n">
        <v>20</v>
      </c>
      <c r="N27" s="0" t="n">
        <v>2</v>
      </c>
      <c r="O27" s="0" t="n">
        <v>1054</v>
      </c>
      <c r="P27" s="0" t="n">
        <v>1058</v>
      </c>
      <c r="Q27" s="0" t="n">
        <v>139</v>
      </c>
      <c r="R27" s="0" t="n">
        <v>1</v>
      </c>
      <c r="S27" s="0" t="n">
        <v>4</v>
      </c>
      <c r="T27" s="0" t="n">
        <v>5</v>
      </c>
      <c r="V27" s="0" t="n">
        <v>1</v>
      </c>
      <c r="W27" s="0" t="n">
        <v>94</v>
      </c>
      <c r="X27" s="0" t="n">
        <v>20</v>
      </c>
      <c r="AA27" s="0" t="s">
        <v>47</v>
      </c>
    </row>
    <row r="28" customFormat="false" ht="15" hidden="false" customHeight="false" outlineLevel="0" collapsed="false">
      <c r="A28" s="0" t="s">
        <v>21</v>
      </c>
      <c r="B28" s="0" t="s">
        <v>48</v>
      </c>
      <c r="C28" s="0" t="s">
        <v>46</v>
      </c>
      <c r="D28" s="0" t="n">
        <v>2</v>
      </c>
      <c r="E28" s="0" t="n">
        <v>2015</v>
      </c>
      <c r="L28" s="0" t="n">
        <v>20</v>
      </c>
      <c r="M28" s="0" t="n">
        <v>20</v>
      </c>
      <c r="N28" s="0" t="n">
        <v>3</v>
      </c>
      <c r="O28" s="0" t="n">
        <v>623</v>
      </c>
      <c r="P28" s="0" t="n">
        <v>773</v>
      </c>
      <c r="Q28" s="0" t="n">
        <v>138</v>
      </c>
      <c r="R28" s="0" t="n">
        <v>0</v>
      </c>
      <c r="S28" s="0" t="n">
        <v>2</v>
      </c>
      <c r="T28" s="0" t="n">
        <v>1</v>
      </c>
      <c r="V28" s="0" t="n">
        <v>0</v>
      </c>
      <c r="W28" s="0" t="n">
        <v>44</v>
      </c>
      <c r="X28" s="0" t="n">
        <v>8</v>
      </c>
      <c r="AA28" s="0" t="s">
        <v>47</v>
      </c>
    </row>
    <row r="29" customFormat="false" ht="15" hidden="false" customHeight="false" outlineLevel="0" collapsed="false">
      <c r="A29" s="0" t="s">
        <v>21</v>
      </c>
      <c r="B29" s="0" t="s">
        <v>48</v>
      </c>
      <c r="C29" s="0" t="s">
        <v>46</v>
      </c>
      <c r="D29" s="0" t="n">
        <v>2</v>
      </c>
      <c r="E29" s="0" t="n">
        <v>2016</v>
      </c>
      <c r="L29" s="0" t="n">
        <v>10</v>
      </c>
      <c r="M29" s="0" t="n">
        <v>10</v>
      </c>
      <c r="N29" s="0" t="n">
        <v>2</v>
      </c>
      <c r="O29" s="0" t="n">
        <v>739</v>
      </c>
      <c r="P29" s="0" t="n">
        <v>739</v>
      </c>
      <c r="Q29" s="0" t="n">
        <v>154</v>
      </c>
      <c r="R29" s="0" t="n">
        <v>1</v>
      </c>
      <c r="S29" s="0" t="n">
        <v>3</v>
      </c>
      <c r="T29" s="0" t="n">
        <v>4</v>
      </c>
      <c r="V29" s="0" t="n">
        <v>0</v>
      </c>
      <c r="W29" s="0" t="n">
        <v>62</v>
      </c>
      <c r="X29" s="0" t="n">
        <v>8</v>
      </c>
      <c r="AA29" s="0" t="s">
        <v>47</v>
      </c>
    </row>
    <row r="30" customFormat="false" ht="15" hidden="false" customHeight="false" outlineLevel="0" collapsed="false">
      <c r="A30" s="0" t="s">
        <v>21</v>
      </c>
      <c r="B30" s="0" t="s">
        <v>48</v>
      </c>
      <c r="C30" s="0" t="s">
        <v>46</v>
      </c>
      <c r="D30" s="0" t="n">
        <v>2</v>
      </c>
      <c r="E30" s="0" t="n">
        <v>2017</v>
      </c>
      <c r="L30" s="0" t="n">
        <v>26</v>
      </c>
      <c r="M30" s="0" t="n">
        <v>26</v>
      </c>
      <c r="N30" s="0" t="n">
        <v>7</v>
      </c>
      <c r="O30" s="0" t="n">
        <v>1460</v>
      </c>
      <c r="P30" s="0" t="n">
        <v>1473</v>
      </c>
      <c r="Q30" s="0" t="n">
        <v>131</v>
      </c>
      <c r="R30" s="0" t="n">
        <v>0</v>
      </c>
      <c r="S30" s="0" t="n">
        <v>6</v>
      </c>
      <c r="T30" s="0" t="n">
        <v>7</v>
      </c>
      <c r="V30" s="0" t="n">
        <v>2</v>
      </c>
      <c r="W30" s="0" t="n">
        <v>136</v>
      </c>
      <c r="X30" s="0" t="n">
        <v>22</v>
      </c>
      <c r="AA30" s="0" t="s">
        <v>47</v>
      </c>
    </row>
    <row r="31" customFormat="false" ht="15" hidden="false" customHeight="false" outlineLevel="0" collapsed="false">
      <c r="A31" s="0" t="s">
        <v>21</v>
      </c>
      <c r="B31" s="0" t="s">
        <v>48</v>
      </c>
      <c r="C31" s="0" t="s">
        <v>46</v>
      </c>
      <c r="D31" s="0" t="n">
        <v>2</v>
      </c>
      <c r="E31" s="0" t="n">
        <v>2018</v>
      </c>
      <c r="L31" s="0" t="n">
        <v>14</v>
      </c>
      <c r="M31" s="0" t="n">
        <v>14</v>
      </c>
      <c r="N31" s="0" t="n">
        <v>5</v>
      </c>
      <c r="O31" s="0" t="n">
        <v>1202</v>
      </c>
      <c r="P31" s="0" t="n">
        <v>1172</v>
      </c>
      <c r="Q31" s="0" t="n">
        <v>160</v>
      </c>
      <c r="R31" s="0" t="n">
        <v>1</v>
      </c>
      <c r="S31" s="0" t="n">
        <v>6</v>
      </c>
      <c r="T31" s="0" t="n">
        <v>3</v>
      </c>
      <c r="V31" s="0" t="n">
        <v>0</v>
      </c>
      <c r="W31" s="0" t="n">
        <v>123</v>
      </c>
      <c r="X31" s="0" t="n">
        <v>13</v>
      </c>
      <c r="AA31" s="0" t="s">
        <v>47</v>
      </c>
    </row>
    <row r="32" customFormat="false" ht="15" hidden="false" customHeight="false" outlineLevel="0" collapsed="false">
      <c r="A32" s="0" t="s">
        <v>21</v>
      </c>
      <c r="B32" s="0" t="s">
        <v>48</v>
      </c>
      <c r="C32" s="0" t="s">
        <v>46</v>
      </c>
      <c r="D32" s="0" t="n">
        <v>2</v>
      </c>
      <c r="E32" s="0" t="n">
        <v>2019</v>
      </c>
      <c r="L32" s="0" t="n">
        <v>26</v>
      </c>
      <c r="M32" s="0" t="n">
        <v>25</v>
      </c>
      <c r="N32" s="0" t="n">
        <v>2</v>
      </c>
      <c r="O32" s="0" t="n">
        <v>1377</v>
      </c>
      <c r="P32" s="0" t="n">
        <v>1429</v>
      </c>
      <c r="Q32" s="0" t="n">
        <v>123</v>
      </c>
      <c r="R32" s="0" t="n">
        <v>0</v>
      </c>
      <c r="S32" s="0" t="n">
        <v>5</v>
      </c>
      <c r="T32" s="0" t="n">
        <v>7</v>
      </c>
      <c r="V32" s="0" t="n">
        <v>1</v>
      </c>
      <c r="W32" s="0" t="n">
        <v>133</v>
      </c>
      <c r="X32" s="0" t="n">
        <v>8</v>
      </c>
      <c r="AA32" s="0" t="s">
        <v>47</v>
      </c>
    </row>
    <row r="33" customFormat="false" ht="15" hidden="false" customHeight="false" outlineLevel="0" collapsed="false">
      <c r="A33" s="0" t="s">
        <v>21</v>
      </c>
      <c r="B33" s="0" t="s">
        <v>48</v>
      </c>
      <c r="C33" s="0" t="s">
        <v>46</v>
      </c>
      <c r="D33" s="0" t="n">
        <v>2</v>
      </c>
      <c r="E33" s="0" t="n">
        <v>2020</v>
      </c>
      <c r="L33" s="0" t="n">
        <v>9</v>
      </c>
      <c r="M33" s="0" t="n">
        <v>9</v>
      </c>
      <c r="N33" s="0" t="n">
        <v>0</v>
      </c>
      <c r="O33" s="0" t="n">
        <v>431</v>
      </c>
      <c r="P33" s="0" t="n">
        <v>467</v>
      </c>
      <c r="Q33" s="0" t="n">
        <v>89</v>
      </c>
      <c r="R33" s="0" t="n">
        <v>0</v>
      </c>
      <c r="S33" s="0" t="n">
        <v>0</v>
      </c>
      <c r="T33" s="0" t="n">
        <v>5</v>
      </c>
      <c r="V33" s="0" t="n">
        <v>0</v>
      </c>
      <c r="W33" s="0" t="n">
        <v>35</v>
      </c>
      <c r="X33" s="0" t="n">
        <v>5</v>
      </c>
      <c r="AA33" s="0" t="s">
        <v>47</v>
      </c>
    </row>
    <row r="34" customFormat="false" ht="15" hidden="false" customHeight="false" outlineLevel="0" collapsed="false">
      <c r="A34" s="0" t="s">
        <v>21</v>
      </c>
      <c r="B34" s="0" t="s">
        <v>48</v>
      </c>
      <c r="C34" s="0" t="s">
        <v>46</v>
      </c>
      <c r="D34" s="0" t="n">
        <v>2</v>
      </c>
      <c r="E34" s="0" t="n">
        <v>2021</v>
      </c>
      <c r="L34" s="0" t="n">
        <v>3</v>
      </c>
      <c r="M34" s="0" t="n">
        <v>3</v>
      </c>
      <c r="N34" s="0" t="n">
        <v>0</v>
      </c>
      <c r="O34" s="0" t="n">
        <v>129</v>
      </c>
      <c r="P34" s="0" t="n">
        <v>149</v>
      </c>
      <c r="Q34" s="0" t="n">
        <v>66</v>
      </c>
      <c r="R34" s="0" t="n">
        <v>0</v>
      </c>
      <c r="S34" s="0" t="n">
        <v>0</v>
      </c>
      <c r="T34" s="0" t="n">
        <v>2</v>
      </c>
      <c r="V34" s="0" t="n">
        <v>0</v>
      </c>
      <c r="W34" s="0" t="n">
        <v>10</v>
      </c>
      <c r="X34" s="0" t="n">
        <v>1</v>
      </c>
      <c r="AA34" s="0" t="s">
        <v>47</v>
      </c>
    </row>
    <row r="35" customFormat="false" ht="15" hidden="false" customHeight="false" outlineLevel="0" collapsed="false">
      <c r="A35" s="0" t="s">
        <v>21</v>
      </c>
      <c r="B35" s="0" t="s">
        <v>48</v>
      </c>
      <c r="C35" s="0" t="s">
        <v>46</v>
      </c>
      <c r="D35" s="0" t="n">
        <v>2</v>
      </c>
      <c r="E35" s="0" t="n">
        <v>2022</v>
      </c>
      <c r="L35" s="0" t="n">
        <v>11</v>
      </c>
      <c r="M35" s="0" t="n">
        <v>11</v>
      </c>
      <c r="N35" s="0" t="n">
        <v>0</v>
      </c>
      <c r="O35" s="0" t="n">
        <v>302</v>
      </c>
      <c r="P35" s="0" t="n">
        <v>347</v>
      </c>
      <c r="Q35" s="0" t="n">
        <v>113</v>
      </c>
      <c r="R35" s="0" t="n">
        <v>0</v>
      </c>
      <c r="S35" s="0" t="n">
        <v>1</v>
      </c>
      <c r="T35" s="0" t="n">
        <v>2</v>
      </c>
      <c r="V35" s="0" t="n">
        <v>2</v>
      </c>
      <c r="W35" s="0" t="n">
        <v>32</v>
      </c>
      <c r="X35" s="0" t="n">
        <v>2</v>
      </c>
      <c r="AA35" s="0" t="s">
        <v>47</v>
      </c>
    </row>
    <row r="36" customFormat="false" ht="15" hidden="false" customHeight="false" outlineLevel="0" collapsed="false">
      <c r="A36" s="0" t="s">
        <v>21</v>
      </c>
      <c r="B36" s="0" t="s">
        <v>48</v>
      </c>
      <c r="C36" s="0" t="s">
        <v>46</v>
      </c>
      <c r="D36" s="0" t="n">
        <v>2</v>
      </c>
      <c r="E36" s="0" t="n">
        <v>2023</v>
      </c>
      <c r="L36" s="0" t="n">
        <v>27</v>
      </c>
      <c r="M36" s="0" t="n">
        <v>24</v>
      </c>
      <c r="N36" s="0" t="n">
        <v>5</v>
      </c>
      <c r="O36" s="0" t="n">
        <v>1377</v>
      </c>
      <c r="P36" s="0" t="n">
        <v>1389</v>
      </c>
      <c r="Q36" s="0" t="n">
        <v>166</v>
      </c>
      <c r="R36" s="0" t="n">
        <v>1</v>
      </c>
      <c r="S36" s="0" t="n">
        <v>6</v>
      </c>
      <c r="T36" s="0" t="n">
        <v>8</v>
      </c>
      <c r="V36" s="0" t="n">
        <v>1</v>
      </c>
      <c r="W36" s="0" t="n">
        <v>122</v>
      </c>
      <c r="X36" s="0" t="n">
        <v>24</v>
      </c>
      <c r="AA36" s="0" t="s">
        <v>47</v>
      </c>
    </row>
    <row r="37" customFormat="false" ht="15" hidden="false" customHeight="false" outlineLevel="0" collapsed="false">
      <c r="A37" s="0" t="s">
        <v>21</v>
      </c>
      <c r="B37" s="0" t="s">
        <v>48</v>
      </c>
      <c r="C37" s="0" t="s">
        <v>46</v>
      </c>
      <c r="D37" s="0" t="n">
        <v>2</v>
      </c>
      <c r="E37" s="0" t="n">
        <v>2024</v>
      </c>
      <c r="L37" s="0" t="n">
        <v>3</v>
      </c>
      <c r="M37" s="0" t="n">
        <v>3</v>
      </c>
      <c r="N37" s="0" t="n">
        <v>0</v>
      </c>
      <c r="O37" s="0" t="n">
        <v>58</v>
      </c>
      <c r="P37" s="0" t="n">
        <v>69</v>
      </c>
      <c r="Q37" s="0" t="n">
        <v>24</v>
      </c>
      <c r="R37" s="0" t="n">
        <v>0</v>
      </c>
      <c r="S37" s="0" t="n">
        <v>0</v>
      </c>
      <c r="T37" s="0" t="n">
        <v>0</v>
      </c>
      <c r="V37" s="0" t="n">
        <v>0</v>
      </c>
      <c r="W37" s="0" t="n">
        <v>8</v>
      </c>
      <c r="X37" s="0" t="n">
        <v>0</v>
      </c>
      <c r="AA37" s="0" t="s">
        <v>47</v>
      </c>
    </row>
    <row r="38" customFormat="false" ht="15" hidden="false" customHeight="false" outlineLevel="0" collapsed="false">
      <c r="A38" s="0" t="s">
        <v>21</v>
      </c>
      <c r="B38" s="0" t="s">
        <v>48</v>
      </c>
      <c r="C38" s="0" t="s">
        <v>46</v>
      </c>
      <c r="D38" s="0" t="n">
        <v>2</v>
      </c>
      <c r="E38" s="0" t="n">
        <v>2025</v>
      </c>
      <c r="L38" s="0" t="n">
        <v>13</v>
      </c>
      <c r="M38" s="0" t="n">
        <v>13</v>
      </c>
      <c r="N38" s="0" t="n">
        <v>3</v>
      </c>
      <c r="O38" s="0" t="n">
        <v>651</v>
      </c>
      <c r="P38" s="0" t="n">
        <v>677</v>
      </c>
      <c r="Q38" s="0" t="n">
        <v>135</v>
      </c>
      <c r="R38" s="0" t="n">
        <v>0</v>
      </c>
      <c r="S38" s="0" t="n">
        <v>3</v>
      </c>
      <c r="T38" s="0" t="n">
        <v>4</v>
      </c>
      <c r="V38" s="0" t="n">
        <v>2</v>
      </c>
      <c r="W38" s="0" t="n">
        <v>54</v>
      </c>
      <c r="X38" s="0" t="n">
        <v>13</v>
      </c>
      <c r="AA38" s="0" t="s">
        <v>47</v>
      </c>
    </row>
    <row r="39" customFormat="false" ht="15" hidden="false" customHeight="false" outlineLevel="0" collapsed="false">
      <c r="A39" s="0" t="s">
        <v>21</v>
      </c>
      <c r="B39" s="0" t="s">
        <v>48</v>
      </c>
      <c r="C39" s="0" t="s">
        <v>46</v>
      </c>
      <c r="D39" s="0" t="n">
        <v>2</v>
      </c>
      <c r="E39" s="0" t="n">
        <v>2026</v>
      </c>
      <c r="L39" s="0" t="n">
        <v>9</v>
      </c>
      <c r="M39" s="0" t="n">
        <v>9</v>
      </c>
      <c r="N39" s="0" t="n">
        <v>1</v>
      </c>
      <c r="O39" s="0" t="n">
        <v>552</v>
      </c>
      <c r="P39" s="0" t="n">
        <v>468</v>
      </c>
      <c r="Q39" s="0" t="n">
        <v>139</v>
      </c>
      <c r="R39" s="0" t="n">
        <v>1</v>
      </c>
      <c r="S39" s="0" t="n">
        <v>2</v>
      </c>
      <c r="T39" s="0" t="n">
        <v>3</v>
      </c>
      <c r="V39" s="0" t="n">
        <v>1</v>
      </c>
      <c r="W39" s="0" t="n">
        <v>46</v>
      </c>
      <c r="X39" s="0" t="n">
        <v>17</v>
      </c>
      <c r="AA39" s="0" t="s">
        <v>47</v>
      </c>
    </row>
    <row r="40" customFormat="false" ht="15" hidden="false" customHeight="false" outlineLevel="0" collapsed="false">
      <c r="A40" s="0" t="s">
        <v>21</v>
      </c>
      <c r="B40" s="0" t="s">
        <v>49</v>
      </c>
      <c r="C40" s="0" t="s">
        <v>46</v>
      </c>
      <c r="D40" s="0" t="n">
        <v>3</v>
      </c>
      <c r="E40" s="0" t="n">
        <v>2010</v>
      </c>
      <c r="L40" s="0" t="n">
        <v>2</v>
      </c>
      <c r="M40" s="0" t="n">
        <v>1</v>
      </c>
      <c r="N40" s="0" t="n">
        <v>1</v>
      </c>
      <c r="O40" s="0" t="n">
        <v>26</v>
      </c>
      <c r="P40" s="0" t="n">
        <v>21</v>
      </c>
      <c r="Q40" s="0" t="n">
        <v>26</v>
      </c>
      <c r="R40" s="0" t="n">
        <v>1</v>
      </c>
      <c r="S40" s="0" t="n">
        <v>0</v>
      </c>
      <c r="T40" s="0" t="n">
        <v>0</v>
      </c>
      <c r="V40" s="0" t="n">
        <v>0</v>
      </c>
      <c r="W40" s="0" t="n">
        <v>3</v>
      </c>
      <c r="X40" s="0" t="n">
        <v>1</v>
      </c>
      <c r="AA40" s="0" t="s">
        <v>47</v>
      </c>
    </row>
    <row r="41" customFormat="false" ht="15" hidden="false" customHeight="false" outlineLevel="0" collapsed="false">
      <c r="A41" s="0" t="s">
        <v>21</v>
      </c>
      <c r="B41" s="0" t="s">
        <v>49</v>
      </c>
      <c r="C41" s="0" t="s">
        <v>46</v>
      </c>
      <c r="D41" s="0" t="n">
        <v>3</v>
      </c>
      <c r="E41" s="0" t="n">
        <v>2011</v>
      </c>
      <c r="L41" s="0" t="n">
        <v>4</v>
      </c>
      <c r="M41" s="0" t="n">
        <v>4</v>
      </c>
      <c r="N41" s="0" t="n">
        <v>0</v>
      </c>
      <c r="O41" s="0" t="n">
        <v>61</v>
      </c>
      <c r="P41" s="0" t="n">
        <v>52</v>
      </c>
      <c r="Q41" s="0" t="n">
        <v>28</v>
      </c>
      <c r="R41" s="0" t="n">
        <v>0</v>
      </c>
      <c r="S41" s="0" t="n">
        <v>0</v>
      </c>
      <c r="T41" s="0" t="n">
        <v>0</v>
      </c>
      <c r="V41" s="0" t="n">
        <v>0</v>
      </c>
      <c r="W41" s="0" t="n">
        <v>10</v>
      </c>
      <c r="X41" s="0" t="n">
        <v>0</v>
      </c>
      <c r="AA41" s="0" t="s">
        <v>47</v>
      </c>
    </row>
    <row r="42" customFormat="false" ht="15" hidden="false" customHeight="false" outlineLevel="0" collapsed="false">
      <c r="A42" s="0" t="s">
        <v>21</v>
      </c>
      <c r="B42" s="0" t="s">
        <v>49</v>
      </c>
      <c r="C42" s="0" t="s">
        <v>46</v>
      </c>
      <c r="D42" s="0" t="n">
        <v>3</v>
      </c>
      <c r="E42" s="0" t="n">
        <v>2012</v>
      </c>
      <c r="L42" s="0" t="n">
        <v>14</v>
      </c>
      <c r="M42" s="0" t="n">
        <v>13</v>
      </c>
      <c r="N42" s="0" t="n">
        <v>1</v>
      </c>
      <c r="O42" s="0" t="n">
        <v>471</v>
      </c>
      <c r="P42" s="0" t="n">
        <v>355</v>
      </c>
      <c r="Q42" s="0" t="n">
        <v>78</v>
      </c>
      <c r="R42" s="0" t="n">
        <v>1</v>
      </c>
      <c r="S42" s="0" t="n">
        <v>0</v>
      </c>
      <c r="T42" s="0" t="n">
        <v>4</v>
      </c>
      <c r="V42" s="0" t="n">
        <v>0</v>
      </c>
      <c r="W42" s="0" t="n">
        <v>57</v>
      </c>
      <c r="X42" s="0" t="n">
        <v>7</v>
      </c>
      <c r="AA42" s="0" t="s">
        <v>47</v>
      </c>
    </row>
    <row r="43" customFormat="false" ht="15" hidden="false" customHeight="false" outlineLevel="0" collapsed="false">
      <c r="A43" s="0" t="s">
        <v>21</v>
      </c>
      <c r="B43" s="0" t="s">
        <v>49</v>
      </c>
      <c r="C43" s="0" t="s">
        <v>46</v>
      </c>
      <c r="D43" s="0" t="n">
        <v>3</v>
      </c>
      <c r="E43" s="0" t="n">
        <v>2013</v>
      </c>
      <c r="L43" s="0" t="n">
        <v>1</v>
      </c>
      <c r="M43" s="0" t="n">
        <v>1</v>
      </c>
      <c r="N43" s="0" t="n">
        <v>0</v>
      </c>
      <c r="O43" s="0" t="n">
        <v>29</v>
      </c>
      <c r="P43" s="0" t="n">
        <v>22</v>
      </c>
      <c r="Q43" s="0" t="n">
        <v>29</v>
      </c>
      <c r="R43" s="0" t="n">
        <v>0</v>
      </c>
      <c r="S43" s="0" t="n">
        <v>0</v>
      </c>
      <c r="T43" s="0" t="n">
        <v>0</v>
      </c>
      <c r="V43" s="0" t="n">
        <v>0</v>
      </c>
      <c r="W43" s="0" t="n">
        <v>2</v>
      </c>
      <c r="X43" s="0" t="n">
        <v>1</v>
      </c>
      <c r="AA43" s="0" t="s">
        <v>47</v>
      </c>
    </row>
    <row r="44" customFormat="false" ht="15" hidden="false" customHeight="false" outlineLevel="0" collapsed="false">
      <c r="A44" s="0" t="s">
        <v>21</v>
      </c>
      <c r="B44" s="0" t="s">
        <v>49</v>
      </c>
      <c r="C44" s="0" t="s">
        <v>46</v>
      </c>
      <c r="D44" s="0" t="n">
        <v>3</v>
      </c>
      <c r="E44" s="0" t="n">
        <v>2014</v>
      </c>
      <c r="L44" s="0" t="n">
        <v>7</v>
      </c>
      <c r="M44" s="0" t="n">
        <v>7</v>
      </c>
      <c r="N44" s="0" t="n">
        <v>3</v>
      </c>
      <c r="O44" s="0" t="n">
        <v>385</v>
      </c>
      <c r="P44" s="0" t="n">
        <v>288</v>
      </c>
      <c r="Q44" s="0" t="n">
        <v>77</v>
      </c>
      <c r="R44" s="0" t="n">
        <v>0</v>
      </c>
      <c r="S44" s="0" t="n">
        <v>0</v>
      </c>
      <c r="T44" s="0" t="n">
        <v>5</v>
      </c>
      <c r="V44" s="0" t="n">
        <v>0</v>
      </c>
      <c r="W44" s="0" t="n">
        <v>33</v>
      </c>
      <c r="X44" s="0" t="n">
        <v>11</v>
      </c>
      <c r="AA44" s="0" t="s">
        <v>47</v>
      </c>
    </row>
    <row r="45" customFormat="false" ht="15" hidden="false" customHeight="false" outlineLevel="0" collapsed="false">
      <c r="A45" s="0" t="s">
        <v>21</v>
      </c>
      <c r="B45" s="0" t="s">
        <v>49</v>
      </c>
      <c r="C45" s="0" t="s">
        <v>46</v>
      </c>
      <c r="D45" s="0" t="n">
        <v>3</v>
      </c>
      <c r="E45" s="0" t="n">
        <v>2015</v>
      </c>
      <c r="L45" s="0" t="n">
        <v>2</v>
      </c>
      <c r="M45" s="0" t="n">
        <v>2</v>
      </c>
      <c r="N45" s="0" t="n">
        <v>0</v>
      </c>
      <c r="O45" s="0" t="n">
        <v>44</v>
      </c>
      <c r="P45" s="0" t="n">
        <v>28</v>
      </c>
      <c r="Q45" s="0" t="n">
        <v>43</v>
      </c>
      <c r="R45" s="0" t="n">
        <v>0</v>
      </c>
      <c r="S45" s="0" t="n">
        <v>0</v>
      </c>
      <c r="T45" s="0" t="n">
        <v>0</v>
      </c>
      <c r="V45" s="0" t="n">
        <v>0</v>
      </c>
      <c r="W45" s="0" t="n">
        <v>1</v>
      </c>
      <c r="X45" s="0" t="n">
        <v>3</v>
      </c>
      <c r="AA45" s="0" t="s">
        <v>47</v>
      </c>
    </row>
    <row r="46" customFormat="false" ht="15" hidden="false" customHeight="false" outlineLevel="0" collapsed="false">
      <c r="A46" s="0" t="s">
        <v>21</v>
      </c>
      <c r="B46" s="0" t="s">
        <v>49</v>
      </c>
      <c r="C46" s="0" t="s">
        <v>46</v>
      </c>
      <c r="D46" s="0" t="n">
        <v>3</v>
      </c>
      <c r="E46" s="0" t="n">
        <v>2016</v>
      </c>
      <c r="L46" s="0" t="n">
        <v>15</v>
      </c>
      <c r="M46" s="0" t="n">
        <v>13</v>
      </c>
      <c r="N46" s="0" t="n">
        <v>7</v>
      </c>
      <c r="O46" s="0" t="n">
        <v>641</v>
      </c>
      <c r="P46" s="0" t="n">
        <v>457</v>
      </c>
      <c r="Q46" s="0" t="n">
        <v>90</v>
      </c>
      <c r="R46" s="0" t="n">
        <v>1</v>
      </c>
      <c r="S46" s="0" t="n">
        <v>0</v>
      </c>
      <c r="T46" s="0" t="n">
        <v>7</v>
      </c>
      <c r="V46" s="0" t="n">
        <v>0</v>
      </c>
      <c r="W46" s="0" t="n">
        <v>70</v>
      </c>
      <c r="X46" s="0" t="n">
        <v>9</v>
      </c>
      <c r="AA46" s="0" t="s">
        <v>47</v>
      </c>
    </row>
    <row r="47" customFormat="false" ht="15" hidden="false" customHeight="false" outlineLevel="0" collapsed="false">
      <c r="A47" s="0" t="s">
        <v>21</v>
      </c>
      <c r="B47" s="0" t="s">
        <v>49</v>
      </c>
      <c r="C47" s="0" t="s">
        <v>46</v>
      </c>
      <c r="D47" s="0" t="n">
        <v>3</v>
      </c>
      <c r="E47" s="0" t="n">
        <v>2017</v>
      </c>
      <c r="L47" s="0" t="n">
        <v>10</v>
      </c>
      <c r="M47" s="0" t="n">
        <v>10</v>
      </c>
      <c r="N47" s="0" t="n">
        <v>2</v>
      </c>
      <c r="O47" s="0" t="n">
        <v>299</v>
      </c>
      <c r="P47" s="0" t="n">
        <v>196</v>
      </c>
      <c r="Q47" s="0" t="n">
        <v>82</v>
      </c>
      <c r="R47" s="0" t="n">
        <v>0</v>
      </c>
      <c r="S47" s="0" t="n">
        <v>0</v>
      </c>
      <c r="T47" s="0" t="n">
        <v>2</v>
      </c>
      <c r="V47" s="0" t="n">
        <v>1</v>
      </c>
      <c r="W47" s="0" t="n">
        <v>32</v>
      </c>
      <c r="X47" s="0" t="n">
        <v>8</v>
      </c>
      <c r="AA47" s="0" t="s">
        <v>47</v>
      </c>
    </row>
    <row r="48" customFormat="false" ht="15" hidden="false" customHeight="false" outlineLevel="0" collapsed="false">
      <c r="A48" s="0" t="s">
        <v>21</v>
      </c>
      <c r="B48" s="0" t="s">
        <v>49</v>
      </c>
      <c r="C48" s="0" t="s">
        <v>46</v>
      </c>
      <c r="D48" s="0" t="n">
        <v>3</v>
      </c>
      <c r="E48" s="0" t="n">
        <v>2018</v>
      </c>
      <c r="L48" s="0" t="n">
        <v>10</v>
      </c>
      <c r="M48" s="0" t="n">
        <v>9</v>
      </c>
      <c r="N48" s="0" t="n">
        <v>2</v>
      </c>
      <c r="O48" s="0" t="n">
        <v>211</v>
      </c>
      <c r="P48" s="0" t="n">
        <v>173</v>
      </c>
      <c r="Q48" s="0" t="n">
        <v>61</v>
      </c>
      <c r="R48" s="0" t="n">
        <v>1</v>
      </c>
      <c r="S48" s="0" t="n">
        <v>0</v>
      </c>
      <c r="T48" s="0" t="n">
        <v>1</v>
      </c>
      <c r="V48" s="0" t="n">
        <v>1</v>
      </c>
      <c r="W48" s="0" t="n">
        <v>10</v>
      </c>
      <c r="X48" s="0" t="n">
        <v>8</v>
      </c>
      <c r="AA48" s="0" t="s">
        <v>47</v>
      </c>
    </row>
    <row r="49" customFormat="false" ht="15" hidden="false" customHeight="false" outlineLevel="0" collapsed="false">
      <c r="A49" s="0" t="s">
        <v>21</v>
      </c>
      <c r="B49" s="0" t="s">
        <v>49</v>
      </c>
      <c r="C49" s="0" t="s">
        <v>46</v>
      </c>
      <c r="D49" s="0" t="n">
        <v>3</v>
      </c>
      <c r="E49" s="0" t="n">
        <v>2019</v>
      </c>
      <c r="L49" s="0" t="n">
        <v>10</v>
      </c>
      <c r="M49" s="0" t="n">
        <v>10</v>
      </c>
      <c r="N49" s="0" t="n">
        <v>4</v>
      </c>
      <c r="O49" s="0" t="n">
        <v>466</v>
      </c>
      <c r="P49" s="0" t="n">
        <v>315</v>
      </c>
      <c r="Q49" s="0" t="n">
        <v>94</v>
      </c>
      <c r="R49" s="0" t="n">
        <v>1</v>
      </c>
      <c r="S49" s="0" t="n">
        <v>0</v>
      </c>
      <c r="T49" s="0" t="n">
        <v>5</v>
      </c>
      <c r="V49" s="0" t="n">
        <v>0</v>
      </c>
      <c r="W49" s="0" t="n">
        <v>29</v>
      </c>
      <c r="X49" s="0" t="n">
        <v>23</v>
      </c>
      <c r="AA49" s="0" t="s">
        <v>47</v>
      </c>
    </row>
    <row r="50" customFormat="false" ht="15" hidden="false" customHeight="false" outlineLevel="0" collapsed="false">
      <c r="A50" s="0" t="s">
        <v>21</v>
      </c>
      <c r="B50" s="0" t="s">
        <v>49</v>
      </c>
      <c r="C50" s="0" t="s">
        <v>46</v>
      </c>
      <c r="D50" s="0" t="n">
        <v>3</v>
      </c>
      <c r="E50" s="0" t="n">
        <v>2020</v>
      </c>
      <c r="L50" s="0" t="n">
        <v>10</v>
      </c>
      <c r="M50" s="0" t="n">
        <v>9</v>
      </c>
      <c r="N50" s="0" t="n">
        <v>1</v>
      </c>
      <c r="O50" s="0" t="n">
        <v>295</v>
      </c>
      <c r="P50" s="0" t="n">
        <v>208</v>
      </c>
      <c r="Q50" s="0" t="n">
        <v>85</v>
      </c>
      <c r="R50" s="0" t="n">
        <v>0</v>
      </c>
      <c r="S50" s="0" t="n">
        <v>0</v>
      </c>
      <c r="T50" s="0" t="n">
        <v>1</v>
      </c>
      <c r="V50" s="0" t="n">
        <v>0</v>
      </c>
      <c r="W50" s="0" t="n">
        <v>18</v>
      </c>
      <c r="X50" s="0" t="n">
        <v>10</v>
      </c>
      <c r="AA50" s="0" t="s">
        <v>47</v>
      </c>
    </row>
    <row r="51" customFormat="false" ht="15" hidden="false" customHeight="false" outlineLevel="0" collapsed="false">
      <c r="A51" s="0" t="s">
        <v>21</v>
      </c>
      <c r="B51" s="0" t="s">
        <v>49</v>
      </c>
      <c r="C51" s="0" t="s">
        <v>46</v>
      </c>
      <c r="D51" s="0" t="n">
        <v>3</v>
      </c>
      <c r="E51" s="0" t="n">
        <v>2021</v>
      </c>
      <c r="L51" s="0" t="n">
        <v>10</v>
      </c>
      <c r="M51" s="0" t="n">
        <v>8</v>
      </c>
      <c r="N51" s="0" t="n">
        <v>4</v>
      </c>
      <c r="O51" s="0" t="n">
        <v>299</v>
      </c>
      <c r="P51" s="0" t="n">
        <v>225</v>
      </c>
      <c r="Q51" s="0" t="n">
        <v>80</v>
      </c>
      <c r="R51" s="0" t="n">
        <v>1</v>
      </c>
      <c r="S51" s="0" t="n">
        <v>0</v>
      </c>
      <c r="T51" s="0" t="n">
        <v>4</v>
      </c>
      <c r="V51" s="0" t="n">
        <v>1</v>
      </c>
      <c r="W51" s="0" t="n">
        <v>25</v>
      </c>
      <c r="X51" s="0" t="n">
        <v>10</v>
      </c>
      <c r="AA51" s="0" t="s">
        <v>47</v>
      </c>
    </row>
    <row r="52" customFormat="false" ht="15" hidden="false" customHeight="false" outlineLevel="0" collapsed="false">
      <c r="A52" s="0" t="s">
        <v>21</v>
      </c>
      <c r="B52" s="0" t="s">
        <v>49</v>
      </c>
      <c r="C52" s="0" t="s">
        <v>46</v>
      </c>
      <c r="D52" s="0" t="n">
        <v>3</v>
      </c>
      <c r="E52" s="0" t="n">
        <v>2022</v>
      </c>
      <c r="L52" s="0" t="n">
        <v>20</v>
      </c>
      <c r="M52" s="0" t="n">
        <v>20</v>
      </c>
      <c r="N52" s="0" t="n">
        <v>6</v>
      </c>
      <c r="O52" s="0" t="n">
        <v>781</v>
      </c>
      <c r="P52" s="0" t="n">
        <v>565</v>
      </c>
      <c r="Q52" s="0" t="n">
        <v>122</v>
      </c>
      <c r="R52" s="0" t="n">
        <v>1</v>
      </c>
      <c r="S52" s="0" t="n">
        <v>1</v>
      </c>
      <c r="T52" s="0" t="n">
        <v>8</v>
      </c>
      <c r="V52" s="0" t="n">
        <v>1</v>
      </c>
      <c r="W52" s="0" t="n">
        <v>66</v>
      </c>
      <c r="X52" s="0" t="n">
        <v>26</v>
      </c>
      <c r="AA52" s="0" t="s">
        <v>47</v>
      </c>
    </row>
    <row r="53" customFormat="false" ht="15" hidden="false" customHeight="false" outlineLevel="0" collapsed="false">
      <c r="A53" s="0" t="s">
        <v>21</v>
      </c>
      <c r="B53" s="0" t="s">
        <v>49</v>
      </c>
      <c r="C53" s="0" t="s">
        <v>46</v>
      </c>
      <c r="D53" s="0" t="n">
        <v>3</v>
      </c>
      <c r="E53" s="0" t="n">
        <v>2024</v>
      </c>
      <c r="L53" s="0" t="n">
        <v>10</v>
      </c>
      <c r="M53" s="0" t="n">
        <v>10</v>
      </c>
      <c r="N53" s="0" t="n">
        <v>0</v>
      </c>
      <c r="O53" s="0" t="n">
        <v>180</v>
      </c>
      <c r="P53" s="0" t="n">
        <v>151</v>
      </c>
      <c r="Q53" s="0" t="n">
        <v>76</v>
      </c>
      <c r="R53" s="0" t="n">
        <v>0</v>
      </c>
      <c r="S53" s="0" t="n">
        <v>0</v>
      </c>
      <c r="T53" s="0" t="n">
        <v>1</v>
      </c>
      <c r="V53" s="0" t="n">
        <v>3</v>
      </c>
      <c r="W53" s="0" t="n">
        <v>13</v>
      </c>
      <c r="X53" s="0" t="n">
        <v>7</v>
      </c>
      <c r="AA53" s="0" t="s">
        <v>47</v>
      </c>
    </row>
    <row r="54" customFormat="false" ht="15" hidden="false" customHeight="false" outlineLevel="0" collapsed="false">
      <c r="A54" s="0" t="s">
        <v>21</v>
      </c>
      <c r="B54" s="0" t="s">
        <v>50</v>
      </c>
      <c r="C54" s="0" t="s">
        <v>51</v>
      </c>
      <c r="D54" s="0" t="n">
        <v>4</v>
      </c>
      <c r="E54" s="0" t="n">
        <v>2008</v>
      </c>
      <c r="L54" s="0" t="n">
        <v>13</v>
      </c>
      <c r="O54" s="0" t="n">
        <v>165</v>
      </c>
      <c r="Q54" s="0" t="n">
        <v>38</v>
      </c>
      <c r="S54" s="0" t="n">
        <v>0</v>
      </c>
      <c r="T54" s="0" t="n">
        <v>0</v>
      </c>
      <c r="W54" s="0" t="n">
        <v>18</v>
      </c>
      <c r="X54" s="0" t="n">
        <v>4</v>
      </c>
      <c r="AA54" s="0" t="s">
        <v>52</v>
      </c>
    </row>
    <row r="55" customFormat="false" ht="15" hidden="false" customHeight="false" outlineLevel="0" collapsed="false">
      <c r="A55" s="0" t="s">
        <v>21</v>
      </c>
      <c r="B55" s="0" t="s">
        <v>50</v>
      </c>
      <c r="C55" s="0" t="s">
        <v>51</v>
      </c>
      <c r="D55" s="0" t="n">
        <v>4</v>
      </c>
      <c r="E55" s="0" t="n">
        <v>2009</v>
      </c>
      <c r="L55" s="0" t="n">
        <v>16</v>
      </c>
      <c r="O55" s="0" t="n">
        <v>246</v>
      </c>
      <c r="Q55" s="0" t="n">
        <v>50</v>
      </c>
      <c r="S55" s="0" t="n">
        <v>0</v>
      </c>
      <c r="T55" s="0" t="n">
        <v>1</v>
      </c>
      <c r="W55" s="0" t="n">
        <v>22</v>
      </c>
      <c r="X55" s="0" t="n">
        <v>8</v>
      </c>
      <c r="AA55" s="0" t="s">
        <v>52</v>
      </c>
    </row>
    <row r="56" customFormat="false" ht="15" hidden="false" customHeight="false" outlineLevel="0" collapsed="false">
      <c r="A56" s="0" t="s">
        <v>21</v>
      </c>
      <c r="B56" s="0" t="s">
        <v>50</v>
      </c>
      <c r="C56" s="0" t="s">
        <v>51</v>
      </c>
      <c r="D56" s="0" t="n">
        <v>4</v>
      </c>
      <c r="E56" s="0" t="n">
        <v>2010</v>
      </c>
      <c r="L56" s="0" t="n">
        <v>16</v>
      </c>
      <c r="O56" s="0" t="n">
        <v>307</v>
      </c>
      <c r="Q56" s="0" t="n">
        <v>58</v>
      </c>
      <c r="S56" s="0" t="n">
        <v>0</v>
      </c>
      <c r="T56" s="0" t="n">
        <v>1</v>
      </c>
      <c r="W56" s="0" t="n">
        <v>26</v>
      </c>
      <c r="X56" s="0" t="n">
        <v>12</v>
      </c>
      <c r="AA56" s="0" t="s">
        <v>52</v>
      </c>
    </row>
    <row r="57" customFormat="false" ht="15" hidden="false" customHeight="false" outlineLevel="0" collapsed="false">
      <c r="A57" s="0" t="s">
        <v>21</v>
      </c>
      <c r="B57" s="0" t="s">
        <v>50</v>
      </c>
      <c r="C57" s="0" t="s">
        <v>51</v>
      </c>
      <c r="D57" s="0" t="n">
        <v>4</v>
      </c>
      <c r="E57" s="0" t="n">
        <v>2011</v>
      </c>
      <c r="L57" s="0" t="n">
        <v>16</v>
      </c>
      <c r="O57" s="0" t="n">
        <v>557</v>
      </c>
      <c r="Q57" s="0" t="n">
        <v>71</v>
      </c>
      <c r="S57" s="0" t="n">
        <v>0</v>
      </c>
      <c r="T57" s="0" t="n">
        <v>4</v>
      </c>
      <c r="W57" s="0" t="n">
        <v>55</v>
      </c>
      <c r="X57" s="0" t="n">
        <v>16</v>
      </c>
      <c r="AA57" s="0" t="s">
        <v>52</v>
      </c>
    </row>
    <row r="58" customFormat="false" ht="15" hidden="false" customHeight="false" outlineLevel="0" collapsed="false">
      <c r="A58" s="0" t="s">
        <v>21</v>
      </c>
      <c r="B58" s="0" t="s">
        <v>50</v>
      </c>
      <c r="C58" s="0" t="s">
        <v>51</v>
      </c>
      <c r="D58" s="0" t="n">
        <v>4</v>
      </c>
      <c r="E58" s="0" t="n">
        <v>2012</v>
      </c>
      <c r="L58" s="0" t="n">
        <v>16</v>
      </c>
      <c r="O58" s="0" t="n">
        <v>364</v>
      </c>
      <c r="Q58" s="0" t="n">
        <v>73</v>
      </c>
      <c r="S58" s="0" t="n">
        <v>0</v>
      </c>
      <c r="T58" s="0" t="n">
        <v>2</v>
      </c>
      <c r="W58" s="0" t="n">
        <v>33</v>
      </c>
      <c r="X58" s="0" t="n">
        <v>9</v>
      </c>
      <c r="AA58" s="0" t="s">
        <v>52</v>
      </c>
    </row>
    <row r="59" customFormat="false" ht="15" hidden="false" customHeight="false" outlineLevel="0" collapsed="false">
      <c r="A59" s="0" t="s">
        <v>21</v>
      </c>
      <c r="B59" s="0" t="s">
        <v>50</v>
      </c>
      <c r="C59" s="0" t="s">
        <v>51</v>
      </c>
      <c r="D59" s="0" t="n">
        <v>4</v>
      </c>
      <c r="E59" s="0" t="n">
        <v>2013</v>
      </c>
      <c r="L59" s="0" t="n">
        <v>16</v>
      </c>
      <c r="O59" s="0" t="n">
        <v>634</v>
      </c>
      <c r="Q59" s="0" t="n">
        <v>99</v>
      </c>
      <c r="S59" s="0" t="n">
        <v>0</v>
      </c>
      <c r="T59" s="0" t="n">
        <v>6</v>
      </c>
      <c r="W59" s="0" t="n">
        <v>64</v>
      </c>
      <c r="X59" s="0" t="n">
        <v>22</v>
      </c>
      <c r="AA59" s="0" t="s">
        <v>52</v>
      </c>
    </row>
    <row r="60" customFormat="false" ht="15" hidden="false" customHeight="false" outlineLevel="0" collapsed="false">
      <c r="A60" s="0" t="s">
        <v>21</v>
      </c>
      <c r="B60" s="0" t="s">
        <v>50</v>
      </c>
      <c r="C60" s="0" t="s">
        <v>51</v>
      </c>
      <c r="D60" s="0" t="n">
        <v>4</v>
      </c>
      <c r="E60" s="0" t="n">
        <v>2014</v>
      </c>
      <c r="L60" s="0" t="n">
        <v>14</v>
      </c>
      <c r="O60" s="0" t="n">
        <v>359</v>
      </c>
      <c r="Q60" s="0" t="n">
        <v>73</v>
      </c>
      <c r="S60" s="0" t="n">
        <v>0</v>
      </c>
      <c r="T60" s="0" t="n">
        <v>2</v>
      </c>
      <c r="W60" s="0" t="n">
        <v>23</v>
      </c>
      <c r="X60" s="0" t="n">
        <v>16</v>
      </c>
      <c r="AA60" s="0" t="s">
        <v>52</v>
      </c>
    </row>
    <row r="61" customFormat="false" ht="15" hidden="false" customHeight="false" outlineLevel="0" collapsed="false">
      <c r="A61" s="0" t="s">
        <v>21</v>
      </c>
      <c r="B61" s="0" t="s">
        <v>50</v>
      </c>
      <c r="C61" s="0" t="s">
        <v>51</v>
      </c>
      <c r="D61" s="0" t="n">
        <v>4</v>
      </c>
      <c r="E61" s="0" t="n">
        <v>2015</v>
      </c>
      <c r="L61" s="0" t="n">
        <v>16</v>
      </c>
      <c r="O61" s="0" t="n">
        <v>505</v>
      </c>
      <c r="Q61" s="0" t="n">
        <v>82</v>
      </c>
      <c r="S61" s="0" t="n">
        <v>0</v>
      </c>
      <c r="T61" s="0" t="n">
        <v>3</v>
      </c>
      <c r="W61" s="0" t="n">
        <v>35</v>
      </c>
      <c r="X61" s="0" t="n">
        <v>23</v>
      </c>
      <c r="AA61" s="0" t="s">
        <v>52</v>
      </c>
    </row>
    <row r="62" customFormat="false" ht="15" hidden="false" customHeight="false" outlineLevel="0" collapsed="false">
      <c r="A62" s="0" t="s">
        <v>21</v>
      </c>
      <c r="B62" s="0" t="s">
        <v>50</v>
      </c>
      <c r="C62" s="0" t="s">
        <v>51</v>
      </c>
      <c r="D62" s="0" t="n">
        <v>4</v>
      </c>
      <c r="E62" s="0" t="n">
        <v>2016</v>
      </c>
      <c r="L62" s="0" t="n">
        <v>16</v>
      </c>
      <c r="O62" s="0" t="n">
        <v>973</v>
      </c>
      <c r="Q62" s="0" t="n">
        <v>113</v>
      </c>
      <c r="S62" s="0" t="n">
        <v>4</v>
      </c>
      <c r="T62" s="0" t="n">
        <v>7</v>
      </c>
      <c r="W62" s="0" t="n">
        <v>83</v>
      </c>
      <c r="X62" s="0" t="n">
        <v>38</v>
      </c>
      <c r="AA62" s="0" t="s">
        <v>52</v>
      </c>
    </row>
    <row r="63" customFormat="false" ht="15" hidden="false" customHeight="false" outlineLevel="0" collapsed="false">
      <c r="A63" s="0" t="s">
        <v>21</v>
      </c>
      <c r="B63" s="0" t="s">
        <v>50</v>
      </c>
      <c r="C63" s="0" t="s">
        <v>51</v>
      </c>
      <c r="D63" s="0" t="n">
        <v>4</v>
      </c>
      <c r="E63" s="0" t="n">
        <v>2017</v>
      </c>
      <c r="L63" s="0" t="n">
        <v>10</v>
      </c>
      <c r="O63" s="0" t="n">
        <v>308</v>
      </c>
      <c r="Q63" s="0" t="n">
        <v>64</v>
      </c>
      <c r="S63" s="0" t="n">
        <v>0</v>
      </c>
      <c r="T63" s="0" t="n">
        <v>4</v>
      </c>
      <c r="W63" s="0" t="n">
        <v>23</v>
      </c>
      <c r="X63" s="0" t="n">
        <v>11</v>
      </c>
      <c r="AA63" s="0" t="s">
        <v>52</v>
      </c>
    </row>
    <row r="64" customFormat="false" ht="15" hidden="false" customHeight="false" outlineLevel="0" collapsed="false">
      <c r="A64" s="0" t="s">
        <v>21</v>
      </c>
      <c r="B64" s="0" t="s">
        <v>50</v>
      </c>
      <c r="C64" s="0" t="s">
        <v>51</v>
      </c>
      <c r="D64" s="0" t="n">
        <v>4</v>
      </c>
      <c r="E64" s="0" t="n">
        <v>2018</v>
      </c>
      <c r="L64" s="0" t="n">
        <v>14</v>
      </c>
      <c r="O64" s="0" t="n">
        <v>530</v>
      </c>
      <c r="Q64" s="0" t="n">
        <v>92</v>
      </c>
      <c r="S64" s="0" t="n">
        <v>0</v>
      </c>
      <c r="T64" s="0" t="n">
        <v>4</v>
      </c>
      <c r="W64" s="0" t="n">
        <v>52</v>
      </c>
      <c r="X64" s="0" t="n">
        <v>18</v>
      </c>
      <c r="AA64" s="0" t="s">
        <v>52</v>
      </c>
    </row>
    <row r="65" customFormat="false" ht="15" hidden="false" customHeight="false" outlineLevel="0" collapsed="false">
      <c r="A65" s="0" t="s">
        <v>21</v>
      </c>
      <c r="B65" s="0" t="s">
        <v>50</v>
      </c>
      <c r="C65" s="0" t="s">
        <v>51</v>
      </c>
      <c r="D65" s="0" t="n">
        <v>4</v>
      </c>
      <c r="E65" s="0" t="n">
        <v>2019</v>
      </c>
      <c r="L65" s="0" t="n">
        <v>14</v>
      </c>
      <c r="O65" s="0" t="n">
        <v>464</v>
      </c>
      <c r="Q65" s="0" t="n">
        <v>100</v>
      </c>
      <c r="S65" s="0" t="n">
        <v>1</v>
      </c>
      <c r="T65" s="0" t="n">
        <v>2</v>
      </c>
      <c r="W65" s="0" t="n">
        <v>46</v>
      </c>
      <c r="X65" s="0" t="n">
        <v>13</v>
      </c>
      <c r="AA65" s="0" t="s">
        <v>52</v>
      </c>
    </row>
    <row r="66" customFormat="false" ht="15" hidden="false" customHeight="false" outlineLevel="0" collapsed="false">
      <c r="A66" s="0" t="s">
        <v>21</v>
      </c>
      <c r="B66" s="0" t="s">
        <v>50</v>
      </c>
      <c r="C66" s="0" t="s">
        <v>51</v>
      </c>
      <c r="D66" s="0" t="n">
        <v>4</v>
      </c>
      <c r="E66" s="0" t="n">
        <v>2020</v>
      </c>
      <c r="L66" s="0" t="n">
        <v>15</v>
      </c>
      <c r="O66" s="0" t="n">
        <v>466</v>
      </c>
      <c r="Q66" s="0" t="n">
        <v>90</v>
      </c>
      <c r="S66" s="0" t="n">
        <v>0</v>
      </c>
      <c r="T66" s="0" t="n">
        <v>3</v>
      </c>
      <c r="W66" s="0" t="n">
        <v>23</v>
      </c>
      <c r="X66" s="0" t="n">
        <v>11</v>
      </c>
      <c r="AA66" s="0" t="s">
        <v>52</v>
      </c>
    </row>
    <row r="67" customFormat="false" ht="15" hidden="false" customHeight="false" outlineLevel="0" collapsed="false">
      <c r="A67" s="0" t="s">
        <v>21</v>
      </c>
      <c r="B67" s="0" t="s">
        <v>50</v>
      </c>
      <c r="C67" s="0" t="s">
        <v>51</v>
      </c>
      <c r="D67" s="0" t="n">
        <v>4</v>
      </c>
      <c r="E67" s="0" t="n">
        <v>2021</v>
      </c>
      <c r="L67" s="0" t="n">
        <v>15</v>
      </c>
      <c r="O67" s="0" t="n">
        <v>405</v>
      </c>
      <c r="Q67" s="0" t="n">
        <v>72</v>
      </c>
      <c r="S67" s="0" t="n">
        <v>0</v>
      </c>
      <c r="T67" s="0" t="n">
        <v>3</v>
      </c>
      <c r="W67" s="0" t="n">
        <v>43</v>
      </c>
      <c r="X67" s="0" t="n">
        <v>9</v>
      </c>
      <c r="AA67" s="0" t="s">
        <v>52</v>
      </c>
    </row>
    <row r="68" customFormat="false" ht="15" hidden="false" customHeight="false" outlineLevel="0" collapsed="false">
      <c r="A68" s="0" t="s">
        <v>21</v>
      </c>
      <c r="B68" s="0" t="s">
        <v>50</v>
      </c>
      <c r="C68" s="0" t="s">
        <v>51</v>
      </c>
      <c r="D68" s="0" t="n">
        <v>4</v>
      </c>
      <c r="E68" s="0" t="n">
        <v>2022</v>
      </c>
      <c r="L68" s="0" t="n">
        <v>16</v>
      </c>
      <c r="O68" s="0" t="n">
        <v>341</v>
      </c>
      <c r="Q68" s="0" t="n">
        <v>73</v>
      </c>
      <c r="S68" s="0" t="n">
        <v>0</v>
      </c>
      <c r="T68" s="0" t="n">
        <v>2</v>
      </c>
      <c r="W68" s="0" t="n">
        <v>32</v>
      </c>
      <c r="X68" s="0" t="n">
        <v>8</v>
      </c>
      <c r="AA68" s="0" t="s">
        <v>52</v>
      </c>
    </row>
    <row r="69" customFormat="false" ht="15" hidden="false" customHeight="false" outlineLevel="0" collapsed="false">
      <c r="A69" s="0" t="s">
        <v>21</v>
      </c>
      <c r="B69" s="0" t="s">
        <v>50</v>
      </c>
      <c r="C69" s="0" t="s">
        <v>51</v>
      </c>
      <c r="D69" s="0" t="n">
        <v>4</v>
      </c>
      <c r="E69" s="0" t="n">
        <v>2023</v>
      </c>
      <c r="L69" s="0" t="n">
        <v>14</v>
      </c>
      <c r="O69" s="0" t="n">
        <v>639</v>
      </c>
      <c r="Q69" s="0" t="n">
        <v>101</v>
      </c>
      <c r="S69" s="0" t="n">
        <v>2</v>
      </c>
      <c r="T69" s="0" t="n">
        <v>6</v>
      </c>
      <c r="W69" s="0" t="n">
        <v>65</v>
      </c>
      <c r="X69" s="0" t="n">
        <v>16</v>
      </c>
      <c r="AA69" s="0" t="s">
        <v>52</v>
      </c>
    </row>
    <row r="70" customFormat="false" ht="15" hidden="false" customHeight="false" outlineLevel="0" collapsed="false">
      <c r="A70" s="0" t="s">
        <v>21</v>
      </c>
      <c r="B70" s="0" t="s">
        <v>50</v>
      </c>
      <c r="C70" s="0" t="s">
        <v>51</v>
      </c>
      <c r="D70" s="0" t="n">
        <v>4</v>
      </c>
      <c r="E70" s="0" t="n">
        <v>2024</v>
      </c>
      <c r="L70" s="0" t="n">
        <v>15</v>
      </c>
      <c r="O70" s="0" t="n">
        <v>741</v>
      </c>
      <c r="Q70" s="0" t="n">
        <v>113</v>
      </c>
      <c r="S70" s="0" t="n">
        <v>1</v>
      </c>
      <c r="T70" s="0" t="n">
        <v>5</v>
      </c>
      <c r="W70" s="0" t="n">
        <v>62</v>
      </c>
      <c r="X70" s="0" t="n">
        <v>38</v>
      </c>
      <c r="AA70" s="0" t="s">
        <v>52</v>
      </c>
    </row>
    <row r="71" customFormat="false" ht="15" hidden="false" customHeight="false" outlineLevel="0" collapsed="false">
      <c r="A71" s="0" t="s">
        <v>21</v>
      </c>
      <c r="B71" s="0" t="s">
        <v>50</v>
      </c>
      <c r="C71" s="0" t="s">
        <v>51</v>
      </c>
      <c r="D71" s="0" t="n">
        <v>4</v>
      </c>
      <c r="E71" s="0" t="n">
        <v>2025</v>
      </c>
      <c r="L71" s="0" t="n">
        <v>15</v>
      </c>
      <c r="O71" s="0" t="n">
        <v>657</v>
      </c>
      <c r="Q71" s="0" t="n">
        <v>73</v>
      </c>
      <c r="S71" s="0" t="n">
        <v>0</v>
      </c>
      <c r="T71" s="0" t="n">
        <v>8</v>
      </c>
      <c r="W71" s="0" t="n">
        <v>66</v>
      </c>
      <c r="X71" s="0" t="n">
        <v>19</v>
      </c>
      <c r="AA71" s="0" t="s">
        <v>52</v>
      </c>
    </row>
    <row r="72" customFormat="false" ht="15" hidden="false" customHeight="false" outlineLevel="0" collapsed="false">
      <c r="A72" s="0" t="s">
        <v>21</v>
      </c>
      <c r="B72" s="0" t="s">
        <v>50</v>
      </c>
      <c r="C72" s="0" t="s">
        <v>51</v>
      </c>
      <c r="D72" s="0" t="n">
        <v>4</v>
      </c>
      <c r="E72" s="0" t="n">
        <v>2026</v>
      </c>
      <c r="L72" s="0" t="n">
        <v>16</v>
      </c>
      <c r="O72" s="0" t="n">
        <v>675</v>
      </c>
      <c r="Q72" s="0" t="n">
        <v>105</v>
      </c>
      <c r="S72" s="0" t="n">
        <v>1</v>
      </c>
      <c r="T72" s="0" t="n">
        <v>5</v>
      </c>
      <c r="W72" s="0" t="n">
        <v>73</v>
      </c>
      <c r="X72" s="0" t="n">
        <v>25</v>
      </c>
      <c r="AA72" s="0" t="s">
        <v>52</v>
      </c>
    </row>
    <row r="73" customFormat="false" ht="15" hidden="false" customHeight="false" outlineLevel="0" collapsed="false">
      <c r="A73" s="0" t="s">
        <v>23</v>
      </c>
      <c r="B73" s="0" t="s">
        <v>45</v>
      </c>
      <c r="C73" s="0" t="s">
        <v>46</v>
      </c>
      <c r="D73" s="0" t="n">
        <v>1</v>
      </c>
      <c r="F73" s="0" t="s">
        <v>46</v>
      </c>
      <c r="G73" s="0" t="s">
        <v>53</v>
      </c>
      <c r="H73" s="0" t="s">
        <v>53</v>
      </c>
      <c r="L73" s="0" t="n">
        <v>30</v>
      </c>
      <c r="M73" s="0" t="n">
        <v>53</v>
      </c>
      <c r="N73" s="0" t="n">
        <v>2</v>
      </c>
      <c r="O73" s="0" t="n">
        <v>2232</v>
      </c>
      <c r="P73" s="0" t="n">
        <v>4292</v>
      </c>
      <c r="Q73" s="0" t="n">
        <v>186</v>
      </c>
      <c r="R73" s="0" t="n">
        <v>0</v>
      </c>
      <c r="S73" s="0" t="n">
        <v>9</v>
      </c>
      <c r="T73" s="0" t="n">
        <v>5</v>
      </c>
      <c r="V73" s="0" t="n">
        <v>3</v>
      </c>
      <c r="W73" s="0" t="n">
        <v>242</v>
      </c>
      <c r="X73" s="0" t="n">
        <v>7</v>
      </c>
      <c r="AA73" s="0" t="s">
        <v>47</v>
      </c>
    </row>
    <row r="74" customFormat="false" ht="15" hidden="false" customHeight="false" outlineLevel="0" collapsed="false">
      <c r="A74" s="0" t="s">
        <v>23</v>
      </c>
      <c r="B74" s="0" t="s">
        <v>45</v>
      </c>
      <c r="C74" s="0" t="s">
        <v>46</v>
      </c>
      <c r="D74" s="0" t="n">
        <v>1</v>
      </c>
      <c r="F74" s="0" t="s">
        <v>46</v>
      </c>
      <c r="G74" s="0" t="s">
        <v>54</v>
      </c>
      <c r="H74" s="0" t="s">
        <v>54</v>
      </c>
      <c r="L74" s="0" t="n">
        <v>8</v>
      </c>
      <c r="M74" s="0" t="n">
        <v>13</v>
      </c>
      <c r="N74" s="0" t="n">
        <v>2</v>
      </c>
      <c r="O74" s="0" t="n">
        <v>536</v>
      </c>
      <c r="P74" s="0" t="n">
        <v>748</v>
      </c>
      <c r="Q74" s="0" t="n">
        <v>204</v>
      </c>
      <c r="R74" s="0" t="n">
        <v>0</v>
      </c>
      <c r="S74" s="0" t="n">
        <v>2</v>
      </c>
      <c r="T74" s="0" t="n">
        <v>0</v>
      </c>
      <c r="V74" s="0" t="n">
        <v>1</v>
      </c>
      <c r="W74" s="0" t="n">
        <v>59</v>
      </c>
      <c r="X74" s="0" t="n">
        <v>2</v>
      </c>
      <c r="AA74" s="0" t="s">
        <v>47</v>
      </c>
    </row>
    <row r="75" customFormat="false" ht="15" hidden="false" customHeight="false" outlineLevel="0" collapsed="false">
      <c r="A75" s="0" t="s">
        <v>23</v>
      </c>
      <c r="B75" s="0" t="s">
        <v>45</v>
      </c>
      <c r="C75" s="0" t="s">
        <v>46</v>
      </c>
      <c r="D75" s="0" t="n">
        <v>1</v>
      </c>
      <c r="F75" s="0" t="s">
        <v>46</v>
      </c>
      <c r="G75" s="0" t="s">
        <v>55</v>
      </c>
      <c r="H75" s="0" t="s">
        <v>55</v>
      </c>
      <c r="L75" s="0" t="n">
        <v>28</v>
      </c>
      <c r="M75" s="0" t="n">
        <v>50</v>
      </c>
      <c r="N75" s="0" t="n">
        <v>3</v>
      </c>
      <c r="O75" s="0" t="n">
        <v>1991</v>
      </c>
      <c r="P75" s="0" t="n">
        <v>3824</v>
      </c>
      <c r="Q75" s="0" t="n">
        <v>235</v>
      </c>
      <c r="R75" s="0" t="n">
        <v>0</v>
      </c>
      <c r="S75" s="0" t="n">
        <v>5</v>
      </c>
      <c r="T75" s="0" t="n">
        <v>9</v>
      </c>
      <c r="V75" s="0" t="n">
        <v>6</v>
      </c>
      <c r="W75" s="0" t="n">
        <v>235</v>
      </c>
      <c r="X75" s="0" t="n">
        <v>2</v>
      </c>
      <c r="AA75" s="0" t="s">
        <v>47</v>
      </c>
    </row>
    <row r="76" customFormat="false" ht="15" hidden="false" customHeight="false" outlineLevel="0" collapsed="false">
      <c r="A76" s="0" t="s">
        <v>23</v>
      </c>
      <c r="B76" s="0" t="s">
        <v>45</v>
      </c>
      <c r="C76" s="0" t="s">
        <v>46</v>
      </c>
      <c r="D76" s="0" t="n">
        <v>1</v>
      </c>
      <c r="F76" s="0" t="s">
        <v>46</v>
      </c>
      <c r="G76" s="0" t="s">
        <v>56</v>
      </c>
      <c r="H76" s="0" t="s">
        <v>56</v>
      </c>
      <c r="L76" s="0" t="n">
        <v>14</v>
      </c>
      <c r="M76" s="0" t="n">
        <v>27</v>
      </c>
      <c r="N76" s="0" t="n">
        <v>2</v>
      </c>
      <c r="O76" s="0" t="n">
        <v>959</v>
      </c>
      <c r="P76" s="0" t="n">
        <v>1779</v>
      </c>
      <c r="Q76" s="0" t="n">
        <v>211</v>
      </c>
      <c r="R76" s="0" t="n">
        <v>0</v>
      </c>
      <c r="S76" s="0" t="n">
        <v>3</v>
      </c>
      <c r="T76" s="0" t="n">
        <v>4</v>
      </c>
      <c r="V76" s="0" t="n">
        <v>2</v>
      </c>
      <c r="W76" s="0" t="n">
        <v>116</v>
      </c>
      <c r="X76" s="0" t="n">
        <v>4</v>
      </c>
      <c r="AA76" s="0" t="s">
        <v>47</v>
      </c>
    </row>
    <row r="77" customFormat="false" ht="15" hidden="false" customHeight="false" outlineLevel="0" collapsed="false">
      <c r="A77" s="0" t="s">
        <v>23</v>
      </c>
      <c r="B77" s="0" t="s">
        <v>45</v>
      </c>
      <c r="C77" s="0" t="s">
        <v>46</v>
      </c>
      <c r="D77" s="0" t="n">
        <v>1</v>
      </c>
      <c r="F77" s="0" t="s">
        <v>46</v>
      </c>
      <c r="G77" s="0" t="s">
        <v>57</v>
      </c>
      <c r="H77" s="0" t="s">
        <v>57</v>
      </c>
      <c r="L77" s="0" t="n">
        <v>16</v>
      </c>
      <c r="M77" s="0" t="n">
        <v>28</v>
      </c>
      <c r="N77" s="0" t="n">
        <v>2</v>
      </c>
      <c r="O77" s="0" t="n">
        <v>1408</v>
      </c>
      <c r="P77" s="0" t="n">
        <v>2459</v>
      </c>
      <c r="Q77" s="0" t="n">
        <v>254</v>
      </c>
      <c r="R77" s="0" t="n">
        <v>1</v>
      </c>
      <c r="S77" s="0" t="n">
        <v>3</v>
      </c>
      <c r="T77" s="0" t="n">
        <v>5</v>
      </c>
      <c r="V77" s="0" t="n">
        <v>0</v>
      </c>
      <c r="W77" s="0" t="n">
        <v>184</v>
      </c>
      <c r="X77" s="0" t="n">
        <v>6</v>
      </c>
      <c r="AA77" s="0" t="s">
        <v>47</v>
      </c>
    </row>
    <row r="78" customFormat="false" ht="15" hidden="false" customHeight="false" outlineLevel="0" collapsed="false">
      <c r="A78" s="0" t="s">
        <v>23</v>
      </c>
      <c r="B78" s="0" t="s">
        <v>45</v>
      </c>
      <c r="C78" s="0" t="s">
        <v>46</v>
      </c>
      <c r="D78" s="0" t="n">
        <v>1</v>
      </c>
      <c r="F78" s="0" t="s">
        <v>46</v>
      </c>
      <c r="G78" s="0" t="s">
        <v>58</v>
      </c>
      <c r="H78" s="0" t="s">
        <v>58</v>
      </c>
      <c r="L78" s="0" t="n">
        <v>11</v>
      </c>
      <c r="M78" s="0" t="n">
        <v>18</v>
      </c>
      <c r="N78" s="0" t="n">
        <v>2</v>
      </c>
      <c r="O78" s="0" t="n">
        <v>1085</v>
      </c>
      <c r="P78" s="0" t="n">
        <v>1589</v>
      </c>
      <c r="Q78" s="0" t="n">
        <v>243</v>
      </c>
      <c r="R78" s="0" t="n">
        <v>0</v>
      </c>
      <c r="S78" s="0" t="n">
        <v>5</v>
      </c>
      <c r="T78" s="0" t="n">
        <v>2</v>
      </c>
      <c r="V78" s="0" t="n">
        <v>1</v>
      </c>
      <c r="W78" s="0" t="n">
        <v>99</v>
      </c>
      <c r="X78" s="0" t="n">
        <v>6</v>
      </c>
      <c r="AA78" s="0" t="s">
        <v>47</v>
      </c>
    </row>
    <row r="79" customFormat="false" ht="15" hidden="false" customHeight="false" outlineLevel="0" collapsed="false">
      <c r="A79" s="0" t="s">
        <v>23</v>
      </c>
      <c r="B79" s="0" t="s">
        <v>45</v>
      </c>
      <c r="C79" s="0" t="s">
        <v>46</v>
      </c>
      <c r="D79" s="0" t="n">
        <v>1</v>
      </c>
      <c r="F79" s="0" t="s">
        <v>46</v>
      </c>
      <c r="G79" s="0" t="s">
        <v>59</v>
      </c>
      <c r="H79" s="0" t="s">
        <v>59</v>
      </c>
      <c r="L79" s="0" t="n">
        <v>16</v>
      </c>
      <c r="M79" s="0" t="n">
        <v>21</v>
      </c>
      <c r="N79" s="0" t="n">
        <v>0</v>
      </c>
      <c r="O79" s="0" t="n">
        <v>1019</v>
      </c>
      <c r="P79" s="0" t="n">
        <v>1917</v>
      </c>
      <c r="Q79" s="0" t="n">
        <v>200</v>
      </c>
      <c r="R79" s="0" t="n">
        <v>0</v>
      </c>
      <c r="S79" s="0" t="n">
        <v>3</v>
      </c>
      <c r="T79" s="0" t="n">
        <v>6</v>
      </c>
      <c r="V79" s="0" t="n">
        <v>2</v>
      </c>
      <c r="W79" s="0" t="n">
        <v>92</v>
      </c>
      <c r="X79" s="0" t="n">
        <v>3</v>
      </c>
      <c r="AA79" s="0" t="s">
        <v>47</v>
      </c>
    </row>
    <row r="80" customFormat="false" ht="15" hidden="false" customHeight="false" outlineLevel="0" collapsed="false">
      <c r="A80" s="0" t="s">
        <v>23</v>
      </c>
      <c r="B80" s="0" t="s">
        <v>48</v>
      </c>
      <c r="C80" s="0" t="s">
        <v>46</v>
      </c>
      <c r="D80" s="0" t="n">
        <v>2</v>
      </c>
      <c r="F80" s="0" t="s">
        <v>46</v>
      </c>
      <c r="G80" s="0" t="s">
        <v>60</v>
      </c>
      <c r="H80" s="0" t="s">
        <v>60</v>
      </c>
      <c r="L80" s="0" t="n">
        <v>3</v>
      </c>
      <c r="M80" s="0" t="n">
        <v>2</v>
      </c>
      <c r="N80" s="0" t="n">
        <v>1</v>
      </c>
      <c r="O80" s="0" t="n">
        <v>122</v>
      </c>
      <c r="P80" s="0" t="n">
        <v>119</v>
      </c>
      <c r="Q80" s="0" t="n">
        <v>67</v>
      </c>
      <c r="R80" s="0" t="n">
        <v>0</v>
      </c>
      <c r="S80" s="0" t="n">
        <v>0</v>
      </c>
      <c r="T80" s="0" t="n">
        <v>2</v>
      </c>
      <c r="V80" s="0" t="n">
        <v>0</v>
      </c>
      <c r="W80" s="0" t="n">
        <v>11</v>
      </c>
      <c r="X80" s="0" t="n">
        <v>0</v>
      </c>
      <c r="AA80" s="0" t="s">
        <v>47</v>
      </c>
    </row>
    <row r="81" customFormat="false" ht="15" hidden="false" customHeight="false" outlineLevel="0" collapsed="false">
      <c r="A81" s="0" t="s">
        <v>23</v>
      </c>
      <c r="B81" s="0" t="s">
        <v>48</v>
      </c>
      <c r="C81" s="0" t="s">
        <v>46</v>
      </c>
      <c r="D81" s="0" t="n">
        <v>2</v>
      </c>
      <c r="F81" s="0" t="s">
        <v>46</v>
      </c>
      <c r="G81" s="0" t="s">
        <v>53</v>
      </c>
      <c r="H81" s="0" t="s">
        <v>53</v>
      </c>
      <c r="L81" s="0" t="n">
        <v>53</v>
      </c>
      <c r="M81" s="0" t="n">
        <v>51</v>
      </c>
      <c r="N81" s="0" t="n">
        <v>4</v>
      </c>
      <c r="O81" s="0" t="n">
        <v>2525</v>
      </c>
      <c r="P81" s="0" t="n">
        <v>2709</v>
      </c>
      <c r="Q81" s="0" t="n">
        <v>123</v>
      </c>
      <c r="R81" s="0" t="n">
        <v>0</v>
      </c>
      <c r="S81" s="0" t="n">
        <v>8</v>
      </c>
      <c r="T81" s="0" t="n">
        <v>16</v>
      </c>
      <c r="V81" s="0" t="n">
        <v>4</v>
      </c>
      <c r="W81" s="0" t="n">
        <v>219</v>
      </c>
      <c r="X81" s="0" t="n">
        <v>25</v>
      </c>
      <c r="AA81" s="0" t="s">
        <v>47</v>
      </c>
    </row>
    <row r="82" customFormat="false" ht="15" hidden="false" customHeight="false" outlineLevel="0" collapsed="false">
      <c r="A82" s="0" t="s">
        <v>23</v>
      </c>
      <c r="B82" s="0" t="s">
        <v>48</v>
      </c>
      <c r="C82" s="0" t="s">
        <v>46</v>
      </c>
      <c r="D82" s="0" t="n">
        <v>2</v>
      </c>
      <c r="F82" s="0" t="s">
        <v>46</v>
      </c>
      <c r="G82" s="0" t="s">
        <v>54</v>
      </c>
      <c r="H82" s="0" t="s">
        <v>54</v>
      </c>
      <c r="L82" s="0" t="n">
        <v>17</v>
      </c>
      <c r="M82" s="0" t="n">
        <v>17</v>
      </c>
      <c r="N82" s="0" t="n">
        <v>4</v>
      </c>
      <c r="O82" s="0" t="n">
        <v>932</v>
      </c>
      <c r="P82" s="0" t="n">
        <v>932</v>
      </c>
      <c r="Q82" s="0" t="n">
        <v>136</v>
      </c>
      <c r="R82" s="0" t="n">
        <v>0</v>
      </c>
      <c r="S82" s="0" t="n">
        <v>5</v>
      </c>
      <c r="T82" s="0" t="n">
        <v>3</v>
      </c>
      <c r="V82" s="0" t="n">
        <v>0</v>
      </c>
      <c r="W82" s="0" t="n">
        <v>87</v>
      </c>
      <c r="X82" s="0" t="n">
        <v>11</v>
      </c>
      <c r="AA82" s="0" t="s">
        <v>47</v>
      </c>
    </row>
    <row r="83" customFormat="false" ht="15" hidden="false" customHeight="false" outlineLevel="0" collapsed="false">
      <c r="A83" s="0" t="s">
        <v>23</v>
      </c>
      <c r="B83" s="0" t="s">
        <v>48</v>
      </c>
      <c r="C83" s="0" t="s">
        <v>46</v>
      </c>
      <c r="D83" s="0" t="n">
        <v>2</v>
      </c>
      <c r="F83" s="0" t="s">
        <v>46</v>
      </c>
      <c r="G83" s="0" t="s">
        <v>55</v>
      </c>
      <c r="H83" s="0" t="s">
        <v>55</v>
      </c>
      <c r="L83" s="0" t="n">
        <v>41</v>
      </c>
      <c r="M83" s="0" t="n">
        <v>41</v>
      </c>
      <c r="N83" s="0" t="n">
        <v>4</v>
      </c>
      <c r="O83" s="0" t="n">
        <v>1541</v>
      </c>
      <c r="P83" s="0" t="n">
        <v>1715</v>
      </c>
      <c r="Q83" s="0" t="n">
        <v>122</v>
      </c>
      <c r="R83" s="0" t="n">
        <v>0</v>
      </c>
      <c r="S83" s="0" t="n">
        <v>3</v>
      </c>
      <c r="T83" s="0" t="n">
        <v>12</v>
      </c>
      <c r="V83" s="0" t="n">
        <v>4</v>
      </c>
      <c r="W83" s="0" t="n">
        <v>148</v>
      </c>
      <c r="X83" s="0" t="n">
        <v>16</v>
      </c>
      <c r="AA83" s="0" t="s">
        <v>47</v>
      </c>
    </row>
    <row r="84" customFormat="false" ht="15" hidden="false" customHeight="false" outlineLevel="0" collapsed="false">
      <c r="A84" s="0" t="s">
        <v>23</v>
      </c>
      <c r="B84" s="0" t="s">
        <v>48</v>
      </c>
      <c r="C84" s="0" t="s">
        <v>46</v>
      </c>
      <c r="D84" s="0" t="n">
        <v>2</v>
      </c>
      <c r="F84" s="0" t="s">
        <v>46</v>
      </c>
      <c r="G84" s="0" t="s">
        <v>61</v>
      </c>
      <c r="H84" s="0" t="s">
        <v>61</v>
      </c>
      <c r="L84" s="0" t="n">
        <v>2</v>
      </c>
      <c r="M84" s="0" t="n">
        <v>2</v>
      </c>
      <c r="N84" s="0" t="n">
        <v>1</v>
      </c>
      <c r="O84" s="0" t="n">
        <v>78</v>
      </c>
      <c r="P84" s="0" t="n">
        <v>95</v>
      </c>
      <c r="Q84" s="0" t="n">
        <v>44</v>
      </c>
      <c r="R84" s="0" t="n">
        <v>1</v>
      </c>
      <c r="S84" s="0" t="n">
        <v>0</v>
      </c>
      <c r="T84" s="0" t="n">
        <v>0</v>
      </c>
      <c r="V84" s="0" t="n">
        <v>0</v>
      </c>
      <c r="W84" s="0" t="n">
        <v>7</v>
      </c>
      <c r="X84" s="0" t="n">
        <v>1</v>
      </c>
      <c r="AA84" s="0" t="s">
        <v>47</v>
      </c>
    </row>
    <row r="85" customFormat="false" ht="15" hidden="false" customHeight="false" outlineLevel="0" collapsed="false">
      <c r="A85" s="0" t="s">
        <v>23</v>
      </c>
      <c r="B85" s="0" t="s">
        <v>48</v>
      </c>
      <c r="C85" s="0" t="s">
        <v>46</v>
      </c>
      <c r="D85" s="0" t="n">
        <v>2</v>
      </c>
      <c r="F85" s="0" t="s">
        <v>46</v>
      </c>
      <c r="G85" s="0" t="s">
        <v>62</v>
      </c>
      <c r="H85" s="0" t="s">
        <v>62</v>
      </c>
      <c r="L85" s="0" t="n">
        <v>1</v>
      </c>
      <c r="AA85" s="0" t="s">
        <v>47</v>
      </c>
    </row>
    <row r="86" customFormat="false" ht="15" hidden="false" customHeight="false" outlineLevel="0" collapsed="false">
      <c r="A86" s="0" t="s">
        <v>23</v>
      </c>
      <c r="B86" s="0" t="s">
        <v>48</v>
      </c>
      <c r="C86" s="0" t="s">
        <v>46</v>
      </c>
      <c r="D86" s="0" t="n">
        <v>2</v>
      </c>
      <c r="F86" s="0" t="s">
        <v>46</v>
      </c>
      <c r="G86" s="0" t="s">
        <v>63</v>
      </c>
      <c r="H86" s="0" t="s">
        <v>63</v>
      </c>
      <c r="L86" s="0" t="n">
        <v>2</v>
      </c>
      <c r="M86" s="0" t="n">
        <v>2</v>
      </c>
      <c r="N86" s="0" t="n">
        <v>0</v>
      </c>
      <c r="O86" s="0" t="n">
        <v>63</v>
      </c>
      <c r="P86" s="0" t="n">
        <v>76</v>
      </c>
      <c r="Q86" s="0" t="n">
        <v>51</v>
      </c>
      <c r="R86" s="0" t="n">
        <v>0</v>
      </c>
      <c r="S86" s="0" t="n">
        <v>0</v>
      </c>
      <c r="T86" s="0" t="n">
        <v>1</v>
      </c>
      <c r="V86" s="0" t="n">
        <v>0</v>
      </c>
      <c r="W86" s="0" t="n">
        <v>7</v>
      </c>
      <c r="X86" s="0" t="n">
        <v>1</v>
      </c>
      <c r="AA86" s="0" t="s">
        <v>47</v>
      </c>
    </row>
    <row r="87" customFormat="false" ht="15" hidden="false" customHeight="false" outlineLevel="0" collapsed="false">
      <c r="A87" s="0" t="s">
        <v>23</v>
      </c>
      <c r="B87" s="0" t="s">
        <v>48</v>
      </c>
      <c r="C87" s="0" t="s">
        <v>46</v>
      </c>
      <c r="D87" s="0" t="n">
        <v>2</v>
      </c>
      <c r="F87" s="0" t="s">
        <v>46</v>
      </c>
      <c r="G87" s="0" t="s">
        <v>56</v>
      </c>
      <c r="H87" s="0" t="s">
        <v>56</v>
      </c>
      <c r="L87" s="0" t="n">
        <v>36</v>
      </c>
      <c r="M87" s="0" t="n">
        <v>36</v>
      </c>
      <c r="N87" s="0" t="n">
        <v>3</v>
      </c>
      <c r="O87" s="0" t="n">
        <v>1897</v>
      </c>
      <c r="P87" s="0" t="n">
        <v>1963</v>
      </c>
      <c r="Q87" s="0" t="n">
        <v>154</v>
      </c>
      <c r="R87" s="0" t="n">
        <v>1</v>
      </c>
      <c r="S87" s="0" t="n">
        <v>7</v>
      </c>
      <c r="T87" s="0" t="n">
        <v>10</v>
      </c>
      <c r="V87" s="0" t="n">
        <v>1</v>
      </c>
      <c r="W87" s="0" t="n">
        <v>168</v>
      </c>
      <c r="X87" s="0" t="n">
        <v>28</v>
      </c>
      <c r="AA87" s="0" t="s">
        <v>47</v>
      </c>
    </row>
    <row r="88" customFormat="false" ht="15" hidden="false" customHeight="false" outlineLevel="0" collapsed="false">
      <c r="A88" s="0" t="s">
        <v>23</v>
      </c>
      <c r="B88" s="0" t="s">
        <v>48</v>
      </c>
      <c r="C88" s="0" t="s">
        <v>46</v>
      </c>
      <c r="D88" s="0" t="n">
        <v>2</v>
      </c>
      <c r="F88" s="0" t="s">
        <v>46</v>
      </c>
      <c r="G88" s="0" t="s">
        <v>64</v>
      </c>
      <c r="H88" s="0" t="s">
        <v>64</v>
      </c>
      <c r="L88" s="0" t="n">
        <v>17</v>
      </c>
      <c r="M88" s="0" t="n">
        <v>17</v>
      </c>
      <c r="N88" s="0" t="n">
        <v>4</v>
      </c>
      <c r="O88" s="0" t="n">
        <v>778</v>
      </c>
      <c r="P88" s="0" t="n">
        <v>787</v>
      </c>
      <c r="Q88" s="0" t="n">
        <v>183</v>
      </c>
      <c r="R88" s="0" t="n">
        <v>0</v>
      </c>
      <c r="S88" s="0" t="n">
        <v>4</v>
      </c>
      <c r="T88" s="0" t="n">
        <v>2</v>
      </c>
      <c r="V88" s="0" t="n">
        <v>1</v>
      </c>
      <c r="W88" s="0" t="n">
        <v>70</v>
      </c>
      <c r="X88" s="0" t="n">
        <v>7</v>
      </c>
      <c r="AA88" s="0" t="s">
        <v>47</v>
      </c>
    </row>
    <row r="89" customFormat="false" ht="15" hidden="false" customHeight="false" outlineLevel="0" collapsed="false">
      <c r="A89" s="0" t="s">
        <v>23</v>
      </c>
      <c r="B89" s="0" t="s">
        <v>48</v>
      </c>
      <c r="C89" s="0" t="s">
        <v>46</v>
      </c>
      <c r="D89" s="0" t="n">
        <v>2</v>
      </c>
      <c r="F89" s="0" t="s">
        <v>46</v>
      </c>
      <c r="G89" s="0" t="s">
        <v>57</v>
      </c>
      <c r="H89" s="0" t="s">
        <v>57</v>
      </c>
      <c r="L89" s="0" t="n">
        <v>34</v>
      </c>
      <c r="M89" s="0" t="n">
        <v>32</v>
      </c>
      <c r="N89" s="0" t="n">
        <v>7</v>
      </c>
      <c r="O89" s="0" t="n">
        <v>1806</v>
      </c>
      <c r="P89" s="0" t="n">
        <v>2012</v>
      </c>
      <c r="Q89" s="0" t="n">
        <v>160</v>
      </c>
      <c r="R89" s="0" t="n">
        <v>1</v>
      </c>
      <c r="S89" s="0" t="n">
        <v>7</v>
      </c>
      <c r="T89" s="0" t="n">
        <v>9</v>
      </c>
      <c r="V89" s="0" t="n">
        <v>2</v>
      </c>
      <c r="W89" s="0" t="n">
        <v>145</v>
      </c>
      <c r="X89" s="0" t="n">
        <v>29</v>
      </c>
      <c r="AA89" s="0" t="s">
        <v>47</v>
      </c>
    </row>
    <row r="90" customFormat="false" ht="15" hidden="false" customHeight="false" outlineLevel="0" collapsed="false">
      <c r="A90" s="0" t="s">
        <v>23</v>
      </c>
      <c r="B90" s="0" t="s">
        <v>48</v>
      </c>
      <c r="C90" s="0" t="s">
        <v>46</v>
      </c>
      <c r="D90" s="0" t="n">
        <v>2</v>
      </c>
      <c r="F90" s="0" t="s">
        <v>46</v>
      </c>
      <c r="G90" s="0" t="s">
        <v>58</v>
      </c>
      <c r="H90" s="0" t="s">
        <v>58</v>
      </c>
      <c r="L90" s="0" t="n">
        <v>56</v>
      </c>
      <c r="M90" s="0" t="n">
        <v>54</v>
      </c>
      <c r="N90" s="0" t="n">
        <v>10</v>
      </c>
      <c r="O90" s="0" t="n">
        <v>2652</v>
      </c>
      <c r="P90" s="0" t="n">
        <v>2831</v>
      </c>
      <c r="Q90" s="0" t="n">
        <v>166</v>
      </c>
      <c r="R90" s="0" t="n">
        <v>1</v>
      </c>
      <c r="S90" s="0" t="n">
        <v>10</v>
      </c>
      <c r="T90" s="0" t="n">
        <v>12</v>
      </c>
      <c r="V90" s="0" t="n">
        <v>2</v>
      </c>
      <c r="W90" s="0" t="n">
        <v>258</v>
      </c>
      <c r="X90" s="0" t="n">
        <v>26</v>
      </c>
      <c r="AA90" s="0" t="s">
        <v>47</v>
      </c>
    </row>
    <row r="91" customFormat="false" ht="15" hidden="false" customHeight="false" outlineLevel="0" collapsed="false">
      <c r="A91" s="0" t="s">
        <v>23</v>
      </c>
      <c r="B91" s="0" t="s">
        <v>48</v>
      </c>
      <c r="C91" s="0" t="s">
        <v>46</v>
      </c>
      <c r="D91" s="0" t="n">
        <v>2</v>
      </c>
      <c r="F91" s="0" t="s">
        <v>46</v>
      </c>
      <c r="G91" s="0" t="s">
        <v>65</v>
      </c>
      <c r="H91" s="0" t="s">
        <v>65</v>
      </c>
      <c r="L91" s="0" t="n">
        <v>1</v>
      </c>
      <c r="M91" s="0" t="n">
        <v>1</v>
      </c>
      <c r="N91" s="0" t="n">
        <v>1</v>
      </c>
      <c r="O91" s="0" t="n">
        <v>33</v>
      </c>
      <c r="P91" s="0" t="n">
        <v>41</v>
      </c>
      <c r="Q91" s="0" t="n">
        <v>33</v>
      </c>
      <c r="R91" s="0" t="n">
        <v>1</v>
      </c>
      <c r="S91" s="0" t="n">
        <v>0</v>
      </c>
      <c r="T91" s="0" t="n">
        <v>0</v>
      </c>
      <c r="V91" s="0" t="n">
        <v>0</v>
      </c>
      <c r="W91" s="0" t="n">
        <v>5</v>
      </c>
      <c r="X91" s="0" t="n">
        <v>0</v>
      </c>
      <c r="AA91" s="0" t="s">
        <v>47</v>
      </c>
    </row>
    <row r="92" customFormat="false" ht="15" hidden="false" customHeight="false" outlineLevel="0" collapsed="false">
      <c r="A92" s="0" t="s">
        <v>23</v>
      </c>
      <c r="B92" s="0" t="s">
        <v>48</v>
      </c>
      <c r="C92" s="0" t="s">
        <v>46</v>
      </c>
      <c r="D92" s="0" t="n">
        <v>2</v>
      </c>
      <c r="F92" s="0" t="s">
        <v>46</v>
      </c>
      <c r="G92" s="0" t="s">
        <v>59</v>
      </c>
      <c r="H92" s="0" t="s">
        <v>59</v>
      </c>
      <c r="L92" s="0" t="n">
        <v>46</v>
      </c>
      <c r="M92" s="0" t="n">
        <v>44</v>
      </c>
      <c r="N92" s="0" t="n">
        <v>8</v>
      </c>
      <c r="O92" s="0" t="n">
        <v>2429</v>
      </c>
      <c r="P92" s="0" t="n">
        <v>2440</v>
      </c>
      <c r="Q92" s="0" t="n">
        <v>157</v>
      </c>
      <c r="R92" s="0" t="n">
        <v>1</v>
      </c>
      <c r="S92" s="0" t="n">
        <v>10</v>
      </c>
      <c r="T92" s="0" t="n">
        <v>11</v>
      </c>
      <c r="V92" s="0" t="n">
        <v>4</v>
      </c>
      <c r="W92" s="0" t="n">
        <v>252</v>
      </c>
      <c r="X92" s="0" t="n">
        <v>35</v>
      </c>
      <c r="AA92" s="0" t="s">
        <v>47</v>
      </c>
    </row>
    <row r="93" customFormat="false" ht="15" hidden="false" customHeight="false" outlineLevel="0" collapsed="false">
      <c r="A93" s="0" t="s">
        <v>23</v>
      </c>
      <c r="B93" s="0" t="s">
        <v>48</v>
      </c>
      <c r="C93" s="0" t="s">
        <v>46</v>
      </c>
      <c r="D93" s="0" t="n">
        <v>2</v>
      </c>
      <c r="F93" s="0" t="s">
        <v>46</v>
      </c>
      <c r="G93" s="0" t="s">
        <v>66</v>
      </c>
      <c r="H93" s="0" t="s">
        <v>66</v>
      </c>
      <c r="L93" s="0" t="n">
        <v>8</v>
      </c>
      <c r="M93" s="0" t="n">
        <v>6</v>
      </c>
      <c r="N93" s="0" t="n">
        <v>1</v>
      </c>
      <c r="O93" s="0" t="n">
        <v>253</v>
      </c>
      <c r="P93" s="0" t="n">
        <v>291</v>
      </c>
      <c r="Q93" s="0" t="n">
        <v>115</v>
      </c>
      <c r="R93" s="0" t="n">
        <v>0</v>
      </c>
      <c r="S93" s="0" t="n">
        <v>1</v>
      </c>
      <c r="T93" s="0" t="n">
        <v>1</v>
      </c>
      <c r="V93" s="0" t="n">
        <v>1</v>
      </c>
      <c r="W93" s="0" t="n">
        <v>25</v>
      </c>
      <c r="X93" s="0" t="n">
        <v>2</v>
      </c>
      <c r="AA93" s="0" t="s">
        <v>47</v>
      </c>
    </row>
    <row r="94" customFormat="false" ht="15" hidden="false" customHeight="false" outlineLevel="0" collapsed="false">
      <c r="A94" s="0" t="s">
        <v>23</v>
      </c>
      <c r="B94" s="0" t="s">
        <v>49</v>
      </c>
      <c r="C94" s="0" t="s">
        <v>46</v>
      </c>
      <c r="D94" s="0" t="n">
        <v>3</v>
      </c>
      <c r="F94" s="0" t="s">
        <v>46</v>
      </c>
      <c r="G94" s="0" t="s">
        <v>60</v>
      </c>
      <c r="H94" s="0" t="s">
        <v>60</v>
      </c>
      <c r="L94" s="0" t="n">
        <v>6</v>
      </c>
      <c r="M94" s="0" t="n">
        <v>5</v>
      </c>
      <c r="N94" s="0" t="n">
        <v>1</v>
      </c>
      <c r="O94" s="0" t="n">
        <v>225</v>
      </c>
      <c r="P94" s="0" t="n">
        <v>141</v>
      </c>
      <c r="Q94" s="0" t="n">
        <v>122</v>
      </c>
      <c r="R94" s="0" t="n">
        <v>1</v>
      </c>
      <c r="S94" s="0" t="n">
        <v>1</v>
      </c>
      <c r="T94" s="0" t="n">
        <v>1</v>
      </c>
      <c r="V94" s="0" t="n">
        <v>1</v>
      </c>
      <c r="W94" s="0" t="n">
        <v>21</v>
      </c>
      <c r="X94" s="0" t="n">
        <v>9</v>
      </c>
      <c r="AA94" s="0" t="s">
        <v>47</v>
      </c>
    </row>
    <row r="95" customFormat="false" ht="15" hidden="false" customHeight="false" outlineLevel="0" collapsed="false">
      <c r="A95" s="0" t="s">
        <v>23</v>
      </c>
      <c r="B95" s="0" t="s">
        <v>49</v>
      </c>
      <c r="C95" s="0" t="s">
        <v>46</v>
      </c>
      <c r="D95" s="0" t="n">
        <v>3</v>
      </c>
      <c r="F95" s="0" t="s">
        <v>46</v>
      </c>
      <c r="G95" s="0" t="s">
        <v>53</v>
      </c>
      <c r="H95" s="0" t="s">
        <v>53</v>
      </c>
      <c r="L95" s="0" t="n">
        <v>23</v>
      </c>
      <c r="M95" s="0" t="n">
        <v>22</v>
      </c>
      <c r="N95" s="0" t="n">
        <v>6</v>
      </c>
      <c r="O95" s="0" t="n">
        <v>794</v>
      </c>
      <c r="P95" s="0" t="n">
        <v>557</v>
      </c>
      <c r="Q95" s="0" t="n">
        <v>90</v>
      </c>
      <c r="R95" s="0" t="n">
        <v>1</v>
      </c>
      <c r="S95" s="0" t="n">
        <v>0</v>
      </c>
      <c r="T95" s="0" t="n">
        <v>8</v>
      </c>
      <c r="V95" s="0" t="n">
        <v>2</v>
      </c>
      <c r="W95" s="0" t="n">
        <v>60</v>
      </c>
      <c r="X95" s="0" t="n">
        <v>26</v>
      </c>
      <c r="AA95" s="0" t="s">
        <v>47</v>
      </c>
    </row>
    <row r="96" customFormat="false" ht="15" hidden="false" customHeight="false" outlineLevel="0" collapsed="false">
      <c r="A96" s="0" t="s">
        <v>23</v>
      </c>
      <c r="B96" s="0" t="s">
        <v>49</v>
      </c>
      <c r="C96" s="0" t="s">
        <v>46</v>
      </c>
      <c r="D96" s="0" t="n">
        <v>3</v>
      </c>
      <c r="F96" s="0" t="s">
        <v>46</v>
      </c>
      <c r="G96" s="0" t="s">
        <v>54</v>
      </c>
      <c r="H96" s="0" t="s">
        <v>54</v>
      </c>
      <c r="L96" s="0" t="n">
        <v>6</v>
      </c>
      <c r="M96" s="0" t="n">
        <v>6</v>
      </c>
      <c r="N96" s="0" t="n">
        <v>3</v>
      </c>
      <c r="O96" s="0" t="n">
        <v>230</v>
      </c>
      <c r="P96" s="0" t="n">
        <v>186</v>
      </c>
      <c r="Q96" s="0" t="n">
        <v>64</v>
      </c>
      <c r="R96" s="0" t="n">
        <v>1</v>
      </c>
      <c r="S96" s="0" t="n">
        <v>0</v>
      </c>
      <c r="T96" s="0" t="n">
        <v>2</v>
      </c>
      <c r="V96" s="0" t="n">
        <v>0</v>
      </c>
      <c r="W96" s="0" t="n">
        <v>18</v>
      </c>
      <c r="X96" s="0" t="n">
        <v>6</v>
      </c>
      <c r="AA96" s="0" t="s">
        <v>47</v>
      </c>
    </row>
    <row r="97" customFormat="false" ht="15" hidden="false" customHeight="false" outlineLevel="0" collapsed="false">
      <c r="A97" s="0" t="s">
        <v>23</v>
      </c>
      <c r="B97" s="0" t="s">
        <v>49</v>
      </c>
      <c r="C97" s="0" t="s">
        <v>46</v>
      </c>
      <c r="D97" s="0" t="n">
        <v>3</v>
      </c>
      <c r="F97" s="0" t="s">
        <v>46</v>
      </c>
      <c r="G97" s="0" t="s">
        <v>55</v>
      </c>
      <c r="H97" s="0" t="s">
        <v>55</v>
      </c>
      <c r="L97" s="0" t="n">
        <v>21</v>
      </c>
      <c r="M97" s="0" t="n">
        <v>21</v>
      </c>
      <c r="N97" s="0" t="n">
        <v>4</v>
      </c>
      <c r="O97" s="0" t="n">
        <v>648</v>
      </c>
      <c r="P97" s="0" t="n">
        <v>480</v>
      </c>
      <c r="Q97" s="0" t="n">
        <v>80</v>
      </c>
      <c r="R97" s="0" t="n">
        <v>1</v>
      </c>
      <c r="S97" s="0" t="n">
        <v>0</v>
      </c>
      <c r="T97" s="0" t="n">
        <v>5</v>
      </c>
      <c r="V97" s="0" t="n">
        <v>1</v>
      </c>
      <c r="W97" s="0" t="n">
        <v>61</v>
      </c>
      <c r="X97" s="0" t="n">
        <v>19</v>
      </c>
      <c r="AA97" s="0" t="s">
        <v>47</v>
      </c>
    </row>
    <row r="98" customFormat="false" ht="15" hidden="false" customHeight="false" outlineLevel="0" collapsed="false">
      <c r="A98" s="0" t="s">
        <v>23</v>
      </c>
      <c r="B98" s="0" t="s">
        <v>49</v>
      </c>
      <c r="C98" s="0" t="s">
        <v>46</v>
      </c>
      <c r="D98" s="0" t="n">
        <v>3</v>
      </c>
      <c r="F98" s="0" t="s">
        <v>46</v>
      </c>
      <c r="G98" s="0" t="s">
        <v>67</v>
      </c>
      <c r="H98" s="0" t="s">
        <v>67</v>
      </c>
      <c r="L98" s="0" t="n">
        <v>1</v>
      </c>
      <c r="M98" s="0" t="n">
        <v>1</v>
      </c>
      <c r="N98" s="0" t="n">
        <v>1</v>
      </c>
      <c r="O98" s="0" t="n">
        <v>59</v>
      </c>
      <c r="P98" s="0" t="n">
        <v>44</v>
      </c>
      <c r="Q98" s="0" t="n">
        <v>59</v>
      </c>
      <c r="R98" s="0" t="n">
        <v>1</v>
      </c>
      <c r="S98" s="0" t="n">
        <v>0</v>
      </c>
      <c r="T98" s="0" t="n">
        <v>1</v>
      </c>
      <c r="V98" s="0" t="n">
        <v>0</v>
      </c>
      <c r="W98" s="0" t="n">
        <v>1</v>
      </c>
      <c r="X98" s="0" t="n">
        <v>3</v>
      </c>
      <c r="AA98" s="0" t="s">
        <v>47</v>
      </c>
    </row>
    <row r="99" customFormat="false" ht="15" hidden="false" customHeight="false" outlineLevel="0" collapsed="false">
      <c r="A99" s="0" t="s">
        <v>23</v>
      </c>
      <c r="B99" s="0" t="s">
        <v>49</v>
      </c>
      <c r="C99" s="0" t="s">
        <v>46</v>
      </c>
      <c r="D99" s="0" t="n">
        <v>3</v>
      </c>
      <c r="F99" s="0" t="s">
        <v>46</v>
      </c>
      <c r="G99" s="0" t="s">
        <v>61</v>
      </c>
      <c r="H99" s="0" t="s">
        <v>61</v>
      </c>
      <c r="L99" s="0" t="n">
        <v>3</v>
      </c>
      <c r="M99" s="0" t="n">
        <v>3</v>
      </c>
      <c r="N99" s="0" t="n">
        <v>0</v>
      </c>
      <c r="O99" s="0" t="n">
        <v>10</v>
      </c>
      <c r="P99" s="0" t="n">
        <v>15</v>
      </c>
      <c r="Q99" s="0" t="n">
        <v>9</v>
      </c>
      <c r="R99" s="0" t="n">
        <v>0</v>
      </c>
      <c r="S99" s="0" t="n">
        <v>0</v>
      </c>
      <c r="T99" s="0" t="n">
        <v>0</v>
      </c>
      <c r="V99" s="0" t="n">
        <v>1</v>
      </c>
      <c r="W99" s="0" t="n">
        <v>1</v>
      </c>
      <c r="X99" s="0" t="n">
        <v>0</v>
      </c>
      <c r="AA99" s="0" t="s">
        <v>47</v>
      </c>
    </row>
    <row r="100" customFormat="false" ht="15" hidden="false" customHeight="false" outlineLevel="0" collapsed="false">
      <c r="A100" s="0" t="s">
        <v>23</v>
      </c>
      <c r="B100" s="0" t="s">
        <v>49</v>
      </c>
      <c r="C100" s="0" t="s">
        <v>46</v>
      </c>
      <c r="D100" s="0" t="n">
        <v>3</v>
      </c>
      <c r="F100" s="0" t="s">
        <v>46</v>
      </c>
      <c r="G100" s="0" t="s">
        <v>68</v>
      </c>
      <c r="H100" s="0" t="s">
        <v>68</v>
      </c>
      <c r="L100" s="0" t="n">
        <v>1</v>
      </c>
      <c r="AA100" s="0" t="s">
        <v>47</v>
      </c>
    </row>
    <row r="101" customFormat="false" ht="15" hidden="false" customHeight="false" outlineLevel="0" collapsed="false">
      <c r="A101" s="0" t="s">
        <v>23</v>
      </c>
      <c r="B101" s="0" t="s">
        <v>49</v>
      </c>
      <c r="C101" s="0" t="s">
        <v>46</v>
      </c>
      <c r="D101" s="0" t="n">
        <v>3</v>
      </c>
      <c r="F101" s="0" t="s">
        <v>46</v>
      </c>
      <c r="G101" s="0" t="s">
        <v>63</v>
      </c>
      <c r="H101" s="0" t="s">
        <v>63</v>
      </c>
      <c r="L101" s="0" t="n">
        <v>1</v>
      </c>
      <c r="M101" s="0" t="n">
        <v>1</v>
      </c>
      <c r="N101" s="0" t="n">
        <v>1</v>
      </c>
      <c r="O101" s="0" t="n">
        <v>62</v>
      </c>
      <c r="P101" s="0" t="n">
        <v>44</v>
      </c>
      <c r="Q101" s="0" t="n">
        <v>62</v>
      </c>
      <c r="R101" s="0" t="n">
        <v>1</v>
      </c>
      <c r="S101" s="0" t="n">
        <v>0</v>
      </c>
      <c r="T101" s="0" t="n">
        <v>1</v>
      </c>
      <c r="V101" s="0" t="n">
        <v>0</v>
      </c>
      <c r="W101" s="0" t="n">
        <v>3</v>
      </c>
      <c r="X101" s="0" t="n">
        <v>2</v>
      </c>
      <c r="AA101" s="0" t="s">
        <v>47</v>
      </c>
    </row>
    <row r="102" customFormat="false" ht="15" hidden="false" customHeight="false" outlineLevel="0" collapsed="false">
      <c r="A102" s="0" t="s">
        <v>23</v>
      </c>
      <c r="B102" s="0" t="s">
        <v>49</v>
      </c>
      <c r="C102" s="0" t="s">
        <v>46</v>
      </c>
      <c r="D102" s="0" t="n">
        <v>3</v>
      </c>
      <c r="F102" s="0" t="s">
        <v>46</v>
      </c>
      <c r="G102" s="0" t="s">
        <v>56</v>
      </c>
      <c r="H102" s="0" t="s">
        <v>56</v>
      </c>
      <c r="L102" s="0" t="n">
        <v>10</v>
      </c>
      <c r="M102" s="0" t="n">
        <v>10</v>
      </c>
      <c r="N102" s="0" t="n">
        <v>1</v>
      </c>
      <c r="O102" s="0" t="n">
        <v>311</v>
      </c>
      <c r="P102" s="0" t="n">
        <v>224</v>
      </c>
      <c r="Q102" s="0" t="n">
        <v>70</v>
      </c>
      <c r="R102" s="0" t="n">
        <v>0</v>
      </c>
      <c r="S102" s="0" t="n">
        <v>0</v>
      </c>
      <c r="T102" s="0" t="n">
        <v>2</v>
      </c>
      <c r="V102" s="0" t="n">
        <v>0</v>
      </c>
      <c r="W102" s="0" t="n">
        <v>29</v>
      </c>
      <c r="X102" s="0" t="n">
        <v>8</v>
      </c>
      <c r="AA102" s="0" t="s">
        <v>47</v>
      </c>
    </row>
    <row r="103" customFormat="false" ht="15" hidden="false" customHeight="false" outlineLevel="0" collapsed="false">
      <c r="A103" s="0" t="s">
        <v>23</v>
      </c>
      <c r="B103" s="0" t="s">
        <v>49</v>
      </c>
      <c r="C103" s="0" t="s">
        <v>46</v>
      </c>
      <c r="D103" s="0" t="n">
        <v>3</v>
      </c>
      <c r="F103" s="0" t="s">
        <v>46</v>
      </c>
      <c r="G103" s="0" t="s">
        <v>64</v>
      </c>
      <c r="H103" s="0" t="s">
        <v>64</v>
      </c>
      <c r="L103" s="0" t="n">
        <v>11</v>
      </c>
      <c r="M103" s="0" t="n">
        <v>11</v>
      </c>
      <c r="N103" s="0" t="n">
        <v>4</v>
      </c>
      <c r="O103" s="0" t="n">
        <v>492</v>
      </c>
      <c r="P103" s="0" t="n">
        <v>397</v>
      </c>
      <c r="Q103" s="0" t="n">
        <v>82</v>
      </c>
      <c r="R103" s="0" t="n">
        <v>1</v>
      </c>
      <c r="S103" s="0" t="n">
        <v>0</v>
      </c>
      <c r="T103" s="0" t="n">
        <v>5</v>
      </c>
      <c r="V103" s="0" t="n">
        <v>0</v>
      </c>
      <c r="W103" s="0" t="n">
        <v>49</v>
      </c>
      <c r="X103" s="0" t="n">
        <v>11</v>
      </c>
      <c r="AA103" s="0" t="s">
        <v>47</v>
      </c>
    </row>
    <row r="104" customFormat="false" ht="15" hidden="false" customHeight="false" outlineLevel="0" collapsed="false">
      <c r="A104" s="0" t="s">
        <v>23</v>
      </c>
      <c r="B104" s="0" t="s">
        <v>49</v>
      </c>
      <c r="C104" s="0" t="s">
        <v>46</v>
      </c>
      <c r="D104" s="0" t="n">
        <v>3</v>
      </c>
      <c r="F104" s="0" t="s">
        <v>46</v>
      </c>
      <c r="G104" s="0" t="s">
        <v>69</v>
      </c>
      <c r="H104" s="0" t="s">
        <v>69</v>
      </c>
      <c r="L104" s="0" t="n">
        <v>1</v>
      </c>
      <c r="M104" s="0" t="n">
        <v>1</v>
      </c>
      <c r="N104" s="0" t="n">
        <v>1</v>
      </c>
      <c r="O104" s="0" t="n">
        <v>2</v>
      </c>
      <c r="P104" s="0" t="n">
        <v>2</v>
      </c>
      <c r="Q104" s="0" t="n">
        <v>2</v>
      </c>
      <c r="R104" s="0" t="n">
        <v>1</v>
      </c>
      <c r="S104" s="0" t="n">
        <v>0</v>
      </c>
      <c r="T104" s="0" t="n">
        <v>0</v>
      </c>
      <c r="V104" s="0" t="n">
        <v>0</v>
      </c>
      <c r="W104" s="0" t="n">
        <v>0</v>
      </c>
      <c r="X104" s="0" t="n">
        <v>0</v>
      </c>
      <c r="AA104" s="0" t="s">
        <v>47</v>
      </c>
    </row>
    <row r="105" customFormat="false" ht="15" hidden="false" customHeight="false" outlineLevel="0" collapsed="false">
      <c r="A105" s="0" t="s">
        <v>23</v>
      </c>
      <c r="B105" s="0" t="s">
        <v>49</v>
      </c>
      <c r="C105" s="0" t="s">
        <v>46</v>
      </c>
      <c r="D105" s="0" t="n">
        <v>3</v>
      </c>
      <c r="F105" s="0" t="s">
        <v>46</v>
      </c>
      <c r="G105" s="0" t="s">
        <v>57</v>
      </c>
      <c r="H105" s="0" t="s">
        <v>57</v>
      </c>
      <c r="L105" s="0" t="n">
        <v>14</v>
      </c>
      <c r="M105" s="0" t="n">
        <v>13</v>
      </c>
      <c r="N105" s="0" t="n">
        <v>3</v>
      </c>
      <c r="O105" s="0" t="n">
        <v>394</v>
      </c>
      <c r="P105" s="0" t="n">
        <v>296</v>
      </c>
      <c r="Q105" s="0" t="n">
        <v>76</v>
      </c>
      <c r="R105" s="0" t="n">
        <v>0</v>
      </c>
      <c r="S105" s="0" t="n">
        <v>0</v>
      </c>
      <c r="T105" s="0" t="n">
        <v>3</v>
      </c>
      <c r="V105" s="0" t="n">
        <v>0</v>
      </c>
      <c r="W105" s="0" t="n">
        <v>32</v>
      </c>
      <c r="X105" s="0" t="n">
        <v>12</v>
      </c>
      <c r="AA105" s="0" t="s">
        <v>47</v>
      </c>
    </row>
    <row r="106" customFormat="false" ht="15" hidden="false" customHeight="false" outlineLevel="0" collapsed="false">
      <c r="A106" s="0" t="s">
        <v>23</v>
      </c>
      <c r="B106" s="0" t="s">
        <v>49</v>
      </c>
      <c r="C106" s="0" t="s">
        <v>46</v>
      </c>
      <c r="D106" s="0" t="n">
        <v>3</v>
      </c>
      <c r="F106" s="0" t="s">
        <v>46</v>
      </c>
      <c r="G106" s="0" t="s">
        <v>58</v>
      </c>
      <c r="H106" s="0" t="s">
        <v>58</v>
      </c>
      <c r="L106" s="0" t="n">
        <v>8</v>
      </c>
      <c r="M106" s="0" t="n">
        <v>7</v>
      </c>
      <c r="N106" s="0" t="n">
        <v>2</v>
      </c>
      <c r="O106" s="0" t="n">
        <v>339</v>
      </c>
      <c r="P106" s="0" t="n">
        <v>245</v>
      </c>
      <c r="Q106" s="0" t="n">
        <v>82</v>
      </c>
      <c r="R106" s="0" t="n">
        <v>0</v>
      </c>
      <c r="S106" s="0" t="n">
        <v>0</v>
      </c>
      <c r="T106" s="0" t="n">
        <v>4</v>
      </c>
      <c r="V106" s="0" t="n">
        <v>1</v>
      </c>
      <c r="W106" s="0" t="n">
        <v>33</v>
      </c>
      <c r="X106" s="0" t="n">
        <v>9</v>
      </c>
      <c r="AA106" s="0" t="s">
        <v>47</v>
      </c>
    </row>
    <row r="107" customFormat="false" ht="15" hidden="false" customHeight="false" outlineLevel="0" collapsed="false">
      <c r="A107" s="0" t="s">
        <v>23</v>
      </c>
      <c r="B107" s="0" t="s">
        <v>49</v>
      </c>
      <c r="C107" s="0" t="s">
        <v>46</v>
      </c>
      <c r="D107" s="0" t="n">
        <v>3</v>
      </c>
      <c r="F107" s="0" t="s">
        <v>46</v>
      </c>
      <c r="G107" s="0" t="s">
        <v>65</v>
      </c>
      <c r="H107" s="0" t="s">
        <v>65</v>
      </c>
      <c r="L107" s="0" t="n">
        <v>1</v>
      </c>
      <c r="AA107" s="0" t="s">
        <v>47</v>
      </c>
    </row>
    <row r="108" customFormat="false" ht="15" hidden="false" customHeight="false" outlineLevel="0" collapsed="false">
      <c r="A108" s="0" t="s">
        <v>23</v>
      </c>
      <c r="B108" s="0" t="s">
        <v>49</v>
      </c>
      <c r="C108" s="0" t="s">
        <v>46</v>
      </c>
      <c r="D108" s="0" t="n">
        <v>3</v>
      </c>
      <c r="F108" s="0" t="s">
        <v>46</v>
      </c>
      <c r="G108" s="0" t="s">
        <v>70</v>
      </c>
      <c r="H108" s="0" t="s">
        <v>70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V108" s="0" t="n">
        <v>1</v>
      </c>
      <c r="W108" s="0" t="n">
        <v>0</v>
      </c>
      <c r="X108" s="0" t="n">
        <v>0</v>
      </c>
      <c r="AA108" s="0" t="s">
        <v>47</v>
      </c>
    </row>
    <row r="109" customFormat="false" ht="15" hidden="false" customHeight="false" outlineLevel="0" collapsed="false">
      <c r="A109" s="0" t="s">
        <v>23</v>
      </c>
      <c r="B109" s="0" t="s">
        <v>49</v>
      </c>
      <c r="C109" s="0" t="s">
        <v>46</v>
      </c>
      <c r="D109" s="0" t="n">
        <v>3</v>
      </c>
      <c r="F109" s="0" t="s">
        <v>46</v>
      </c>
      <c r="G109" s="0" t="s">
        <v>59</v>
      </c>
      <c r="H109" s="0" t="s">
        <v>59</v>
      </c>
      <c r="L109" s="0" t="n">
        <v>14</v>
      </c>
      <c r="M109" s="0" t="n">
        <v>13</v>
      </c>
      <c r="N109" s="0" t="n">
        <v>3</v>
      </c>
      <c r="O109" s="0" t="n">
        <v>570</v>
      </c>
      <c r="P109" s="0" t="n">
        <v>378</v>
      </c>
      <c r="Q109" s="0" t="n">
        <v>94</v>
      </c>
      <c r="R109" s="0" t="n">
        <v>1</v>
      </c>
      <c r="S109" s="0" t="n">
        <v>0</v>
      </c>
      <c r="T109" s="0" t="n">
        <v>6</v>
      </c>
      <c r="V109" s="0" t="n">
        <v>0</v>
      </c>
      <c r="W109" s="0" t="n">
        <v>56</v>
      </c>
      <c r="X109" s="0" t="n">
        <v>18</v>
      </c>
      <c r="AA109" s="0" t="s">
        <v>47</v>
      </c>
    </row>
    <row r="110" customFormat="false" ht="15" hidden="false" customHeight="false" outlineLevel="0" collapsed="false">
      <c r="A110" s="0" t="s">
        <v>23</v>
      </c>
      <c r="B110" s="0" t="s">
        <v>49</v>
      </c>
      <c r="C110" s="0" t="s">
        <v>46</v>
      </c>
      <c r="D110" s="0" t="n">
        <v>3</v>
      </c>
      <c r="F110" s="0" t="s">
        <v>46</v>
      </c>
      <c r="G110" s="0" t="s">
        <v>66</v>
      </c>
      <c r="H110" s="0" t="s">
        <v>66</v>
      </c>
      <c r="L110" s="0" t="n">
        <v>3</v>
      </c>
      <c r="M110" s="0" t="n">
        <v>2</v>
      </c>
      <c r="N110" s="0" t="n">
        <v>1</v>
      </c>
      <c r="O110" s="0" t="n">
        <v>52</v>
      </c>
      <c r="P110" s="0" t="n">
        <v>46</v>
      </c>
      <c r="Q110" s="0" t="n">
        <v>26</v>
      </c>
      <c r="R110" s="0" t="n">
        <v>1</v>
      </c>
      <c r="S110" s="0" t="n">
        <v>0</v>
      </c>
      <c r="T110" s="0" t="n">
        <v>0</v>
      </c>
      <c r="V110" s="0" t="n">
        <v>0</v>
      </c>
      <c r="W110" s="0" t="n">
        <v>5</v>
      </c>
      <c r="X110" s="0" t="n">
        <v>1</v>
      </c>
      <c r="AA110" s="0" t="s">
        <v>47</v>
      </c>
    </row>
    <row r="111" customFormat="false" ht="15" hidden="false" customHeight="false" outlineLevel="0" collapsed="false">
      <c r="A111" s="0" t="s">
        <v>23</v>
      </c>
      <c r="B111" s="0" t="s">
        <v>50</v>
      </c>
      <c r="C111" s="0" t="s">
        <v>51</v>
      </c>
      <c r="D111" s="0" t="n">
        <v>4</v>
      </c>
      <c r="F111" s="0" t="s">
        <v>50</v>
      </c>
      <c r="G111" s="0" t="s">
        <v>71</v>
      </c>
      <c r="H111" s="0" t="s">
        <v>72</v>
      </c>
      <c r="O111" s="0" t="n">
        <v>1217</v>
      </c>
      <c r="AA111" s="0" t="s">
        <v>47</v>
      </c>
    </row>
    <row r="112" customFormat="false" ht="15" hidden="false" customHeight="false" outlineLevel="0" collapsed="false">
      <c r="A112" s="0" t="s">
        <v>23</v>
      </c>
      <c r="B112" s="0" t="s">
        <v>50</v>
      </c>
      <c r="C112" s="0" t="s">
        <v>51</v>
      </c>
      <c r="D112" s="0" t="n">
        <v>4</v>
      </c>
      <c r="F112" s="0" t="s">
        <v>50</v>
      </c>
      <c r="G112" s="0" t="s">
        <v>73</v>
      </c>
      <c r="H112" s="0" t="s">
        <v>74</v>
      </c>
      <c r="O112" s="0" t="n">
        <v>1174</v>
      </c>
      <c r="AA112" s="0" t="s">
        <v>47</v>
      </c>
    </row>
    <row r="113" customFormat="false" ht="15" hidden="false" customHeight="false" outlineLevel="0" collapsed="false">
      <c r="A113" s="0" t="s">
        <v>23</v>
      </c>
      <c r="B113" s="0" t="s">
        <v>50</v>
      </c>
      <c r="C113" s="0" t="s">
        <v>51</v>
      </c>
      <c r="D113" s="0" t="n">
        <v>4</v>
      </c>
      <c r="F113" s="0" t="s">
        <v>50</v>
      </c>
      <c r="G113" s="0" t="s">
        <v>75</v>
      </c>
      <c r="H113" s="0" t="s">
        <v>76</v>
      </c>
      <c r="O113" s="0" t="n">
        <v>1172</v>
      </c>
      <c r="AA113" s="0" t="s">
        <v>47</v>
      </c>
    </row>
    <row r="114" customFormat="false" ht="15" hidden="false" customHeight="false" outlineLevel="0" collapsed="false">
      <c r="A114" s="0" t="s">
        <v>23</v>
      </c>
      <c r="B114" s="0" t="s">
        <v>50</v>
      </c>
      <c r="C114" s="0" t="s">
        <v>51</v>
      </c>
      <c r="D114" s="0" t="n">
        <v>4</v>
      </c>
      <c r="F114" s="0" t="s">
        <v>50</v>
      </c>
      <c r="G114" s="0" t="s">
        <v>77</v>
      </c>
      <c r="H114" s="0" t="s">
        <v>78</v>
      </c>
      <c r="O114" s="0" t="n">
        <v>1126</v>
      </c>
      <c r="AA114" s="0" t="s">
        <v>47</v>
      </c>
    </row>
    <row r="115" customFormat="false" ht="15" hidden="false" customHeight="false" outlineLevel="0" collapsed="false">
      <c r="A115" s="0" t="s">
        <v>23</v>
      </c>
      <c r="B115" s="0" t="s">
        <v>50</v>
      </c>
      <c r="C115" s="0" t="s">
        <v>51</v>
      </c>
      <c r="D115" s="0" t="n">
        <v>4</v>
      </c>
      <c r="F115" s="0" t="s">
        <v>50</v>
      </c>
      <c r="G115" s="0" t="s">
        <v>79</v>
      </c>
      <c r="H115" s="0" t="s">
        <v>80</v>
      </c>
      <c r="O115" s="0" t="n">
        <v>972</v>
      </c>
      <c r="AA115" s="0" t="s">
        <v>47</v>
      </c>
    </row>
    <row r="116" customFormat="false" ht="15" hidden="false" customHeight="false" outlineLevel="0" collapsed="false">
      <c r="A116" s="0" t="s">
        <v>23</v>
      </c>
      <c r="B116" s="0" t="s">
        <v>50</v>
      </c>
      <c r="C116" s="0" t="s">
        <v>51</v>
      </c>
      <c r="D116" s="0" t="n">
        <v>4</v>
      </c>
      <c r="F116" s="0" t="s">
        <v>50</v>
      </c>
      <c r="G116" s="0" t="s">
        <v>81</v>
      </c>
      <c r="H116" s="0" t="s">
        <v>82</v>
      </c>
      <c r="O116" s="0" t="n">
        <v>928</v>
      </c>
      <c r="AA116" s="0" t="s">
        <v>47</v>
      </c>
    </row>
    <row r="117" customFormat="false" ht="15" hidden="false" customHeight="false" outlineLevel="0" collapsed="false">
      <c r="A117" s="0" t="s">
        <v>23</v>
      </c>
      <c r="B117" s="0" t="s">
        <v>50</v>
      </c>
      <c r="C117" s="0" t="s">
        <v>51</v>
      </c>
      <c r="D117" s="0" t="n">
        <v>4</v>
      </c>
      <c r="F117" s="0" t="s">
        <v>50</v>
      </c>
      <c r="G117" s="0" t="s">
        <v>83</v>
      </c>
      <c r="H117" s="0" t="s">
        <v>84</v>
      </c>
      <c r="O117" s="0" t="n">
        <v>889</v>
      </c>
      <c r="AA117" s="0" t="s">
        <v>47</v>
      </c>
    </row>
    <row r="118" customFormat="false" ht="15" hidden="false" customHeight="false" outlineLevel="0" collapsed="false">
      <c r="A118" s="0" t="s">
        <v>23</v>
      </c>
      <c r="B118" s="0" t="s">
        <v>50</v>
      </c>
      <c r="C118" s="0" t="s">
        <v>51</v>
      </c>
      <c r="D118" s="0" t="n">
        <v>4</v>
      </c>
      <c r="F118" s="0" t="s">
        <v>50</v>
      </c>
      <c r="G118" s="0" t="s">
        <v>85</v>
      </c>
      <c r="H118" s="0" t="s">
        <v>86</v>
      </c>
      <c r="O118" s="0" t="n">
        <v>578</v>
      </c>
      <c r="AA118" s="0" t="s">
        <v>47</v>
      </c>
    </row>
    <row r="119" customFormat="false" ht="15" hidden="false" customHeight="false" outlineLevel="0" collapsed="false">
      <c r="A119" s="0" t="s">
        <v>23</v>
      </c>
      <c r="B119" s="0" t="s">
        <v>50</v>
      </c>
      <c r="C119" s="0" t="s">
        <v>51</v>
      </c>
      <c r="D119" s="0" t="n">
        <v>4</v>
      </c>
      <c r="F119" s="0" t="s">
        <v>50</v>
      </c>
      <c r="G119" s="0" t="s">
        <v>87</v>
      </c>
      <c r="H119" s="0" t="s">
        <v>88</v>
      </c>
      <c r="O119" s="0" t="n">
        <v>306</v>
      </c>
      <c r="AA119" s="0" t="s">
        <v>47</v>
      </c>
    </row>
    <row r="120" customFormat="false" ht="15" hidden="false" customHeight="false" outlineLevel="0" collapsed="false">
      <c r="A120" s="0" t="s">
        <v>23</v>
      </c>
      <c r="B120" s="0" t="s">
        <v>50</v>
      </c>
      <c r="C120" s="0" t="s">
        <v>51</v>
      </c>
      <c r="D120" s="0" t="n">
        <v>4</v>
      </c>
      <c r="F120" s="0" t="s">
        <v>50</v>
      </c>
      <c r="G120" s="0" t="s">
        <v>89</v>
      </c>
      <c r="H120" s="0" t="s">
        <v>90</v>
      </c>
      <c r="O120" s="0" t="n">
        <v>283</v>
      </c>
      <c r="AA120" s="0" t="s">
        <v>47</v>
      </c>
    </row>
    <row r="121" customFormat="false" ht="15" hidden="false" customHeight="false" outlineLevel="0" collapsed="false">
      <c r="A121" s="0" t="s">
        <v>23</v>
      </c>
      <c r="B121" s="0" t="s">
        <v>50</v>
      </c>
      <c r="C121" s="0" t="s">
        <v>51</v>
      </c>
      <c r="D121" s="0" t="n">
        <v>4</v>
      </c>
      <c r="F121" s="0" t="s">
        <v>50</v>
      </c>
      <c r="G121" s="0" t="s">
        <v>91</v>
      </c>
      <c r="H121" s="0" t="s">
        <v>92</v>
      </c>
      <c r="O121" s="0" t="n">
        <v>271</v>
      </c>
      <c r="AA121" s="0" t="s">
        <v>47</v>
      </c>
    </row>
    <row r="122" customFormat="false" ht="15" hidden="false" customHeight="false" outlineLevel="0" collapsed="false">
      <c r="A122" s="0" t="s">
        <v>23</v>
      </c>
      <c r="B122" s="0" t="s">
        <v>50</v>
      </c>
      <c r="C122" s="0" t="s">
        <v>51</v>
      </c>
      <c r="D122" s="0" t="n">
        <v>4</v>
      </c>
      <c r="F122" s="0" t="s">
        <v>50</v>
      </c>
      <c r="G122" s="0" t="s">
        <v>93</v>
      </c>
      <c r="H122" s="0" t="s">
        <v>94</v>
      </c>
      <c r="O122" s="0" t="n">
        <v>242</v>
      </c>
      <c r="AA122" s="0" t="s">
        <v>47</v>
      </c>
    </row>
    <row r="123" customFormat="false" ht="15" hidden="false" customHeight="false" outlineLevel="0" collapsed="false">
      <c r="A123" s="0" t="s">
        <v>23</v>
      </c>
      <c r="B123" s="0" t="s">
        <v>50</v>
      </c>
      <c r="C123" s="0" t="s">
        <v>51</v>
      </c>
      <c r="D123" s="0" t="n">
        <v>4</v>
      </c>
      <c r="F123" s="0" t="s">
        <v>50</v>
      </c>
      <c r="G123" s="0" t="s">
        <v>95</v>
      </c>
      <c r="H123" s="0" t="s">
        <v>96</v>
      </c>
      <c r="O123" s="0" t="n">
        <v>128</v>
      </c>
      <c r="AA123" s="0" t="s">
        <v>47</v>
      </c>
    </row>
    <row r="124" customFormat="false" ht="15" hidden="false" customHeight="false" outlineLevel="0" collapsed="false">
      <c r="A124" s="0" t="s">
        <v>23</v>
      </c>
      <c r="B124" s="0" t="s">
        <v>50</v>
      </c>
      <c r="C124" s="0" t="s">
        <v>51</v>
      </c>
      <c r="D124" s="0" t="n">
        <v>4</v>
      </c>
      <c r="F124" s="0" t="s">
        <v>50</v>
      </c>
      <c r="G124" s="0" t="s">
        <v>97</v>
      </c>
      <c r="H124" s="0" t="s">
        <v>98</v>
      </c>
      <c r="O124" s="0" t="n">
        <v>50</v>
      </c>
      <c r="AA124" s="0" t="s">
        <v>47</v>
      </c>
    </row>
    <row r="125" customFormat="false" ht="15" hidden="false" customHeight="false" outlineLevel="0" collapsed="false">
      <c r="A125" s="0" t="s">
        <v>99</v>
      </c>
      <c r="B125" s="0" t="s">
        <v>45</v>
      </c>
      <c r="C125" s="0" t="s">
        <v>46</v>
      </c>
      <c r="D125" s="0" t="n">
        <v>1</v>
      </c>
      <c r="I125" s="0" t="s">
        <v>100</v>
      </c>
      <c r="K125" s="0" t="n">
        <v>1</v>
      </c>
      <c r="Y125" s="0" t="n">
        <v>124</v>
      </c>
      <c r="AA125" s="0" t="s">
        <v>101</v>
      </c>
    </row>
    <row r="126" customFormat="false" ht="15" hidden="false" customHeight="false" outlineLevel="0" collapsed="false">
      <c r="A126" s="0" t="s">
        <v>99</v>
      </c>
      <c r="B126" s="0" t="s">
        <v>45</v>
      </c>
      <c r="C126" s="0" t="s">
        <v>46</v>
      </c>
      <c r="D126" s="0" t="n">
        <v>1</v>
      </c>
      <c r="I126" s="0" t="s">
        <v>102</v>
      </c>
      <c r="K126" s="0" t="n">
        <v>2</v>
      </c>
      <c r="Y126" s="0" t="n">
        <v>14</v>
      </c>
      <c r="AA126" s="0" t="s">
        <v>101</v>
      </c>
    </row>
    <row r="127" customFormat="false" ht="15" hidden="false" customHeight="false" outlineLevel="0" collapsed="false">
      <c r="A127" s="0" t="s">
        <v>99</v>
      </c>
      <c r="B127" s="0" t="s">
        <v>45</v>
      </c>
      <c r="C127" s="0" t="s">
        <v>46</v>
      </c>
      <c r="D127" s="0" t="n">
        <v>1</v>
      </c>
      <c r="I127" s="0" t="s">
        <v>103</v>
      </c>
      <c r="K127" s="0" t="n">
        <v>3</v>
      </c>
      <c r="Y127" s="0" t="n">
        <v>41</v>
      </c>
      <c r="AA127" s="0" t="s">
        <v>101</v>
      </c>
    </row>
    <row r="128" customFormat="false" ht="15" hidden="false" customHeight="false" outlineLevel="0" collapsed="false">
      <c r="A128" s="0" t="s">
        <v>99</v>
      </c>
      <c r="B128" s="0" t="s">
        <v>45</v>
      </c>
      <c r="C128" s="0" t="s">
        <v>46</v>
      </c>
      <c r="D128" s="0" t="n">
        <v>1</v>
      </c>
      <c r="I128" s="0" t="s">
        <v>104</v>
      </c>
      <c r="K128" s="0" t="n">
        <v>4</v>
      </c>
      <c r="Y128" s="0" t="n">
        <v>3</v>
      </c>
      <c r="AA128" s="0" t="s">
        <v>101</v>
      </c>
    </row>
    <row r="129" customFormat="false" ht="15" hidden="false" customHeight="false" outlineLevel="0" collapsed="false">
      <c r="A129" s="0" t="s">
        <v>99</v>
      </c>
      <c r="B129" s="0" t="s">
        <v>45</v>
      </c>
      <c r="C129" s="0" t="s">
        <v>46</v>
      </c>
      <c r="D129" s="0" t="n">
        <v>1</v>
      </c>
      <c r="I129" s="0" t="s">
        <v>105</v>
      </c>
      <c r="K129" s="0" t="n">
        <v>5</v>
      </c>
      <c r="Y129" s="0" t="n">
        <v>1</v>
      </c>
      <c r="AA129" s="0" t="s">
        <v>101</v>
      </c>
    </row>
    <row r="130" customFormat="false" ht="15" hidden="false" customHeight="false" outlineLevel="0" collapsed="false">
      <c r="A130" s="0" t="s">
        <v>99</v>
      </c>
      <c r="B130" s="0" t="s">
        <v>45</v>
      </c>
      <c r="C130" s="0" t="s">
        <v>46</v>
      </c>
      <c r="D130" s="0" t="n">
        <v>1</v>
      </c>
      <c r="I130" s="0" t="s">
        <v>106</v>
      </c>
      <c r="K130" s="0" t="n">
        <v>6</v>
      </c>
      <c r="Y130" s="0" t="n">
        <v>1</v>
      </c>
      <c r="AA130" s="0" t="s">
        <v>101</v>
      </c>
    </row>
    <row r="131" customFormat="false" ht="15" hidden="false" customHeight="false" outlineLevel="0" collapsed="false">
      <c r="A131" s="0" t="s">
        <v>99</v>
      </c>
      <c r="B131" s="0" t="s">
        <v>48</v>
      </c>
      <c r="C131" s="0" t="s">
        <v>46</v>
      </c>
      <c r="D131" s="0" t="n">
        <v>2</v>
      </c>
      <c r="I131" s="0" t="s">
        <v>100</v>
      </c>
      <c r="K131" s="0" t="n">
        <v>1</v>
      </c>
      <c r="Y131" s="0" t="n">
        <v>169</v>
      </c>
      <c r="AA131" s="0" t="s">
        <v>101</v>
      </c>
    </row>
    <row r="132" customFormat="false" ht="15" hidden="false" customHeight="false" outlineLevel="0" collapsed="false">
      <c r="A132" s="0" t="s">
        <v>99</v>
      </c>
      <c r="B132" s="0" t="s">
        <v>48</v>
      </c>
      <c r="C132" s="0" t="s">
        <v>46</v>
      </c>
      <c r="D132" s="0" t="n">
        <v>2</v>
      </c>
      <c r="I132" s="0" t="s">
        <v>102</v>
      </c>
      <c r="K132" s="0" t="n">
        <v>2</v>
      </c>
      <c r="Y132" s="0" t="n">
        <v>34</v>
      </c>
      <c r="AA132" s="0" t="s">
        <v>101</v>
      </c>
    </row>
    <row r="133" customFormat="false" ht="15" hidden="false" customHeight="false" outlineLevel="0" collapsed="false">
      <c r="A133" s="0" t="s">
        <v>99</v>
      </c>
      <c r="B133" s="0" t="s">
        <v>48</v>
      </c>
      <c r="C133" s="0" t="s">
        <v>46</v>
      </c>
      <c r="D133" s="0" t="n">
        <v>2</v>
      </c>
      <c r="I133" s="0" t="s">
        <v>103</v>
      </c>
      <c r="K133" s="0" t="n">
        <v>3</v>
      </c>
      <c r="Y133" s="0" t="n">
        <v>19</v>
      </c>
      <c r="AA133" s="0" t="s">
        <v>101</v>
      </c>
    </row>
    <row r="134" customFormat="false" ht="15" hidden="false" customHeight="false" outlineLevel="0" collapsed="false">
      <c r="A134" s="0" t="s">
        <v>99</v>
      </c>
      <c r="B134" s="0" t="s">
        <v>48</v>
      </c>
      <c r="C134" s="0" t="s">
        <v>46</v>
      </c>
      <c r="D134" s="0" t="n">
        <v>2</v>
      </c>
      <c r="I134" s="0" t="s">
        <v>104</v>
      </c>
      <c r="K134" s="0" t="n">
        <v>4</v>
      </c>
      <c r="Y134" s="0" t="n">
        <v>12</v>
      </c>
      <c r="AA134" s="0" t="s">
        <v>101</v>
      </c>
    </row>
    <row r="135" customFormat="false" ht="15" hidden="false" customHeight="false" outlineLevel="0" collapsed="false">
      <c r="A135" s="0" t="s">
        <v>99</v>
      </c>
      <c r="B135" s="0" t="s">
        <v>48</v>
      </c>
      <c r="C135" s="0" t="s">
        <v>46</v>
      </c>
      <c r="D135" s="0" t="n">
        <v>2</v>
      </c>
      <c r="I135" s="0" t="s">
        <v>105</v>
      </c>
      <c r="K135" s="0" t="n">
        <v>5</v>
      </c>
      <c r="Y135" s="0" t="n">
        <v>5</v>
      </c>
      <c r="AA135" s="0" t="s">
        <v>101</v>
      </c>
    </row>
    <row r="136" customFormat="false" ht="15" hidden="false" customHeight="false" outlineLevel="0" collapsed="false">
      <c r="A136" s="0" t="s">
        <v>99</v>
      </c>
      <c r="B136" s="0" t="s">
        <v>49</v>
      </c>
      <c r="C136" s="0" t="s">
        <v>46</v>
      </c>
      <c r="D136" s="0" t="n">
        <v>3</v>
      </c>
      <c r="I136" s="0" t="s">
        <v>100</v>
      </c>
      <c r="K136" s="0" t="n">
        <v>1</v>
      </c>
      <c r="Y136" s="0" t="n">
        <v>65</v>
      </c>
      <c r="AA136" s="0" t="s">
        <v>107</v>
      </c>
    </row>
    <row r="137" customFormat="false" ht="15" hidden="false" customHeight="false" outlineLevel="0" collapsed="false">
      <c r="A137" s="0" t="s">
        <v>99</v>
      </c>
      <c r="B137" s="0" t="s">
        <v>49</v>
      </c>
      <c r="C137" s="0" t="s">
        <v>46</v>
      </c>
      <c r="D137" s="0" t="n">
        <v>3</v>
      </c>
      <c r="I137" s="0" t="s">
        <v>102</v>
      </c>
      <c r="K137" s="0" t="n">
        <v>2</v>
      </c>
      <c r="Y137" s="0" t="n">
        <v>11</v>
      </c>
      <c r="AA137" s="0" t="s">
        <v>107</v>
      </c>
    </row>
    <row r="138" customFormat="false" ht="15" hidden="false" customHeight="false" outlineLevel="0" collapsed="false">
      <c r="A138" s="0" t="s">
        <v>99</v>
      </c>
      <c r="B138" s="0" t="s">
        <v>49</v>
      </c>
      <c r="C138" s="0" t="s">
        <v>46</v>
      </c>
      <c r="D138" s="0" t="n">
        <v>3</v>
      </c>
      <c r="I138" s="0" t="s">
        <v>103</v>
      </c>
      <c r="K138" s="0" t="n">
        <v>3</v>
      </c>
      <c r="Y138" s="0" t="n">
        <v>3</v>
      </c>
      <c r="AA138" s="0" t="s">
        <v>107</v>
      </c>
    </row>
    <row r="139" customFormat="false" ht="15" hidden="false" customHeight="false" outlineLevel="0" collapsed="false">
      <c r="A139" s="0" t="s">
        <v>99</v>
      </c>
      <c r="B139" s="0" t="s">
        <v>49</v>
      </c>
      <c r="C139" s="0" t="s">
        <v>46</v>
      </c>
      <c r="D139" s="0" t="n">
        <v>3</v>
      </c>
      <c r="I139" s="0" t="s">
        <v>104</v>
      </c>
      <c r="K139" s="0" t="n">
        <v>4</v>
      </c>
      <c r="Y139" s="0" t="n">
        <v>6</v>
      </c>
      <c r="AA139" s="0" t="s">
        <v>107</v>
      </c>
    </row>
    <row r="140" customFormat="false" ht="15" hidden="false" customHeight="false" outlineLevel="0" collapsed="false">
      <c r="A140" s="0" t="s">
        <v>99</v>
      </c>
      <c r="B140" s="0" t="s">
        <v>49</v>
      </c>
      <c r="C140" s="0" t="s">
        <v>46</v>
      </c>
      <c r="D140" s="0" t="n">
        <v>3</v>
      </c>
      <c r="I140" s="0" t="s">
        <v>105</v>
      </c>
      <c r="K140" s="0" t="n">
        <v>5</v>
      </c>
      <c r="Y140" s="0" t="n">
        <v>1</v>
      </c>
      <c r="AA140" s="0" t="s">
        <v>107</v>
      </c>
    </row>
    <row r="141" customFormat="false" ht="15" hidden="false" customHeight="false" outlineLevel="0" collapsed="false">
      <c r="A141" s="0" t="s">
        <v>99</v>
      </c>
      <c r="B141" s="0" t="s">
        <v>50</v>
      </c>
      <c r="C141" s="0" t="s">
        <v>51</v>
      </c>
      <c r="D141" s="0" t="n">
        <v>4</v>
      </c>
      <c r="I141" s="0" t="s">
        <v>100</v>
      </c>
      <c r="K141" s="0" t="n">
        <v>1</v>
      </c>
      <c r="Y141" s="0" t="n">
        <v>162</v>
      </c>
      <c r="AA141" s="0" t="s">
        <v>107</v>
      </c>
    </row>
    <row r="142" customFormat="false" ht="15" hidden="false" customHeight="false" outlineLevel="0" collapsed="false">
      <c r="A142" s="0" t="s">
        <v>99</v>
      </c>
      <c r="B142" s="0" t="s">
        <v>50</v>
      </c>
      <c r="C142" s="0" t="s">
        <v>51</v>
      </c>
      <c r="D142" s="0" t="n">
        <v>4</v>
      </c>
      <c r="I142" s="0" t="s">
        <v>102</v>
      </c>
      <c r="K142" s="0" t="n">
        <v>2</v>
      </c>
      <c r="Y142" s="0" t="n">
        <v>43</v>
      </c>
      <c r="AA142" s="0" t="s">
        <v>107</v>
      </c>
    </row>
    <row r="143" customFormat="false" ht="15" hidden="false" customHeight="false" outlineLevel="0" collapsed="false">
      <c r="A143" s="0" t="s">
        <v>99</v>
      </c>
      <c r="B143" s="0" t="s">
        <v>50</v>
      </c>
      <c r="C143" s="0" t="s">
        <v>51</v>
      </c>
      <c r="D143" s="0" t="n">
        <v>4</v>
      </c>
      <c r="I143" s="0" t="s">
        <v>103</v>
      </c>
      <c r="K143" s="0" t="n">
        <v>3</v>
      </c>
      <c r="Y143" s="0" t="n">
        <v>12</v>
      </c>
      <c r="AA143" s="0" t="s">
        <v>107</v>
      </c>
    </row>
    <row r="144" customFormat="false" ht="15" hidden="false" customHeight="false" outlineLevel="0" collapsed="false">
      <c r="A144" s="0" t="s">
        <v>99</v>
      </c>
      <c r="B144" s="0" t="s">
        <v>50</v>
      </c>
      <c r="C144" s="0" t="s">
        <v>51</v>
      </c>
      <c r="D144" s="0" t="n">
        <v>4</v>
      </c>
      <c r="I144" s="0" t="s">
        <v>104</v>
      </c>
      <c r="K144" s="0" t="n">
        <v>4</v>
      </c>
      <c r="Y144" s="0" t="n">
        <v>9</v>
      </c>
      <c r="AA144" s="0" t="s">
        <v>107</v>
      </c>
    </row>
    <row r="145" customFormat="false" ht="15" hidden="false" customHeight="false" outlineLevel="0" collapsed="false">
      <c r="A145" s="0" t="s">
        <v>99</v>
      </c>
      <c r="B145" s="0" t="s">
        <v>50</v>
      </c>
      <c r="C145" s="0" t="s">
        <v>51</v>
      </c>
      <c r="D145" s="0" t="n">
        <v>4</v>
      </c>
      <c r="I145" s="0" t="s">
        <v>108</v>
      </c>
      <c r="K145" s="0" t="n">
        <v>9</v>
      </c>
      <c r="Y145" s="0" t="n">
        <v>5</v>
      </c>
      <c r="AA145" s="0" t="s">
        <v>107</v>
      </c>
    </row>
    <row r="146" customFormat="false" ht="15" hidden="false" customHeight="false" outlineLevel="0" collapsed="false">
      <c r="A146" s="0" t="s">
        <v>109</v>
      </c>
      <c r="B146" s="0" t="s">
        <v>45</v>
      </c>
      <c r="C146" s="0" t="s">
        <v>46</v>
      </c>
      <c r="D146" s="0" t="n">
        <v>1</v>
      </c>
      <c r="I146" s="0" t="s">
        <v>110</v>
      </c>
      <c r="J146" s="0" t="s">
        <v>110</v>
      </c>
      <c r="K146" s="0" t="n">
        <v>3</v>
      </c>
      <c r="M146" s="0" t="n">
        <v>8</v>
      </c>
      <c r="N146" s="0" t="n">
        <v>1</v>
      </c>
      <c r="O146" s="0" t="n">
        <v>167</v>
      </c>
      <c r="S146" s="0" t="n">
        <v>0</v>
      </c>
      <c r="T146" s="0" t="n">
        <v>1</v>
      </c>
      <c r="Z146" s="0" t="n">
        <v>23.86</v>
      </c>
      <c r="AA146" s="0" t="s">
        <v>47</v>
      </c>
    </row>
    <row r="147" customFormat="false" ht="15" hidden="false" customHeight="false" outlineLevel="0" collapsed="false">
      <c r="A147" s="0" t="s">
        <v>109</v>
      </c>
      <c r="B147" s="0" t="s">
        <v>45</v>
      </c>
      <c r="C147" s="0" t="s">
        <v>46</v>
      </c>
      <c r="D147" s="0" t="n">
        <v>1</v>
      </c>
      <c r="I147" s="0" t="s">
        <v>111</v>
      </c>
      <c r="J147" s="0" t="s">
        <v>111</v>
      </c>
      <c r="K147" s="0" t="n">
        <v>4</v>
      </c>
      <c r="M147" s="0" t="n">
        <v>160</v>
      </c>
      <c r="N147" s="0" t="n">
        <v>9</v>
      </c>
      <c r="O147" s="0" t="n">
        <v>7564</v>
      </c>
      <c r="S147" s="0" t="n">
        <v>26</v>
      </c>
      <c r="T147" s="0" t="n">
        <v>21</v>
      </c>
      <c r="Z147" s="0" t="n">
        <v>50.09</v>
      </c>
      <c r="AA147" s="0" t="s">
        <v>47</v>
      </c>
    </row>
    <row r="148" customFormat="false" ht="15" hidden="false" customHeight="false" outlineLevel="0" collapsed="false">
      <c r="A148" s="0" t="s">
        <v>109</v>
      </c>
      <c r="B148" s="0" t="s">
        <v>45</v>
      </c>
      <c r="C148" s="0" t="s">
        <v>46</v>
      </c>
      <c r="D148" s="0" t="n">
        <v>1</v>
      </c>
      <c r="I148" s="0" t="s">
        <v>112</v>
      </c>
      <c r="J148" s="0" t="s">
        <v>112</v>
      </c>
      <c r="K148" s="0" t="n">
        <v>6</v>
      </c>
      <c r="M148" s="0" t="n">
        <v>32</v>
      </c>
      <c r="N148" s="0" t="n">
        <v>3</v>
      </c>
      <c r="O148" s="0" t="n">
        <v>1084</v>
      </c>
      <c r="S148" s="0" t="n">
        <v>3</v>
      </c>
      <c r="T148" s="0" t="n">
        <v>6</v>
      </c>
      <c r="Z148" s="0" t="n">
        <v>37.38</v>
      </c>
      <c r="AA148" s="0" t="s">
        <v>47</v>
      </c>
    </row>
    <row r="149" customFormat="false" ht="15" hidden="false" customHeight="false" outlineLevel="0" collapsed="false">
      <c r="A149" s="0" t="s">
        <v>109</v>
      </c>
      <c r="B149" s="0" t="s">
        <v>45</v>
      </c>
      <c r="C149" s="0" t="s">
        <v>46</v>
      </c>
      <c r="D149" s="0" t="n">
        <v>1</v>
      </c>
      <c r="I149" s="0" t="s">
        <v>113</v>
      </c>
      <c r="J149" s="0" t="s">
        <v>113</v>
      </c>
      <c r="K149" s="0" t="n">
        <v>8</v>
      </c>
      <c r="M149" s="0" t="n">
        <v>9</v>
      </c>
      <c r="N149" s="0" t="n">
        <v>0</v>
      </c>
      <c r="O149" s="0" t="n">
        <v>404</v>
      </c>
      <c r="S149" s="0" t="n">
        <v>1</v>
      </c>
      <c r="T149" s="0" t="n">
        <v>3</v>
      </c>
      <c r="Z149" s="0" t="n">
        <v>44.89</v>
      </c>
      <c r="AA149" s="0" t="s">
        <v>47</v>
      </c>
    </row>
    <row r="150" customFormat="false" ht="15" hidden="false" customHeight="false" outlineLevel="0" collapsed="false">
      <c r="A150" s="0" t="s">
        <v>109</v>
      </c>
      <c r="B150" s="0" t="s">
        <v>45</v>
      </c>
      <c r="C150" s="0" t="s">
        <v>46</v>
      </c>
      <c r="D150" s="0" t="n">
        <v>1</v>
      </c>
      <c r="I150" s="0" t="s">
        <v>114</v>
      </c>
      <c r="J150" s="0" t="s">
        <v>114</v>
      </c>
      <c r="K150" s="0" t="n">
        <v>9</v>
      </c>
      <c r="M150" s="0" t="n">
        <v>1</v>
      </c>
      <c r="N150" s="0" t="n">
        <v>0</v>
      </c>
      <c r="O150" s="0" t="n">
        <v>11</v>
      </c>
      <c r="S150" s="0" t="n">
        <v>0</v>
      </c>
      <c r="T150" s="0" t="n">
        <v>0</v>
      </c>
      <c r="Z150" s="0" t="n">
        <v>11</v>
      </c>
      <c r="AA150" s="0" t="s">
        <v>47</v>
      </c>
    </row>
    <row r="151" customFormat="false" ht="15" hidden="false" customHeight="false" outlineLevel="0" collapsed="false">
      <c r="A151" s="0" t="s">
        <v>109</v>
      </c>
      <c r="B151" s="0" t="s">
        <v>48</v>
      </c>
      <c r="C151" s="0" t="s">
        <v>46</v>
      </c>
      <c r="D151" s="0" t="n">
        <v>2</v>
      </c>
      <c r="I151" s="0" t="s">
        <v>110</v>
      </c>
      <c r="J151" s="0" t="s">
        <v>110</v>
      </c>
      <c r="K151" s="0" t="n">
        <v>3</v>
      </c>
      <c r="M151" s="0" t="n">
        <v>223</v>
      </c>
      <c r="O151" s="0" t="n">
        <v>12200</v>
      </c>
      <c r="S151" s="0" t="n">
        <v>43</v>
      </c>
      <c r="T151" s="0" t="n">
        <v>60</v>
      </c>
      <c r="Z151" s="0" t="n">
        <v>60</v>
      </c>
      <c r="AA151" s="0" t="s">
        <v>101</v>
      </c>
    </row>
    <row r="152" customFormat="false" ht="15" hidden="false" customHeight="false" outlineLevel="0" collapsed="false">
      <c r="A152" s="0" t="s">
        <v>109</v>
      </c>
      <c r="B152" s="0" t="s">
        <v>48</v>
      </c>
      <c r="C152" s="0" t="s">
        <v>46</v>
      </c>
      <c r="D152" s="0" t="n">
        <v>2</v>
      </c>
      <c r="I152" s="0" t="s">
        <v>111</v>
      </c>
      <c r="J152" s="0" t="s">
        <v>111</v>
      </c>
      <c r="K152" s="0" t="n">
        <v>4</v>
      </c>
      <c r="M152" s="0" t="n">
        <v>39</v>
      </c>
      <c r="O152" s="0" t="n">
        <v>1700</v>
      </c>
      <c r="S152" s="0" t="n">
        <v>7</v>
      </c>
      <c r="T152" s="0" t="n">
        <v>5</v>
      </c>
      <c r="Z152" s="0" t="n">
        <v>55</v>
      </c>
      <c r="AA152" s="0" t="s">
        <v>101</v>
      </c>
    </row>
    <row r="153" customFormat="false" ht="15" hidden="false" customHeight="false" outlineLevel="0" collapsed="false">
      <c r="A153" s="0" t="s">
        <v>109</v>
      </c>
      <c r="B153" s="0" t="s">
        <v>48</v>
      </c>
      <c r="C153" s="0" t="s">
        <v>46</v>
      </c>
      <c r="D153" s="0" t="n">
        <v>2</v>
      </c>
      <c r="I153" s="0" t="s">
        <v>115</v>
      </c>
      <c r="J153" s="0" t="s">
        <v>115</v>
      </c>
      <c r="K153" s="0" t="n">
        <v>1</v>
      </c>
      <c r="M153" s="0" t="n">
        <v>7</v>
      </c>
      <c r="O153" s="0" t="n">
        <v>160</v>
      </c>
      <c r="S153" s="0" t="n">
        <v>1</v>
      </c>
      <c r="T153" s="0" t="n">
        <v>0</v>
      </c>
      <c r="Z153" s="0" t="n">
        <v>23</v>
      </c>
      <c r="AA153" s="0" t="s">
        <v>101</v>
      </c>
    </row>
    <row r="154" customFormat="false" ht="15" hidden="false" customHeight="false" outlineLevel="0" collapsed="false">
      <c r="A154" s="0" t="s">
        <v>109</v>
      </c>
      <c r="B154" s="0" t="s">
        <v>48</v>
      </c>
      <c r="C154" s="0" t="s">
        <v>46</v>
      </c>
      <c r="D154" s="0" t="n">
        <v>2</v>
      </c>
      <c r="I154" s="0" t="s">
        <v>116</v>
      </c>
      <c r="J154" s="0" t="s">
        <v>116</v>
      </c>
      <c r="K154" s="0" t="n">
        <v>7</v>
      </c>
      <c r="M154" s="0" t="n">
        <v>15</v>
      </c>
      <c r="O154" s="0" t="n">
        <v>400</v>
      </c>
      <c r="S154" s="0" t="n">
        <v>3</v>
      </c>
      <c r="T154" s="0" t="n">
        <v>2</v>
      </c>
      <c r="Z154" s="0" t="n">
        <v>25</v>
      </c>
      <c r="AA154" s="0" t="s">
        <v>101</v>
      </c>
    </row>
    <row r="155" customFormat="false" ht="15" hidden="false" customHeight="false" outlineLevel="0" collapsed="false">
      <c r="A155" s="0" t="s">
        <v>109</v>
      </c>
      <c r="B155" s="0" t="s">
        <v>49</v>
      </c>
      <c r="C155" s="0" t="s">
        <v>46</v>
      </c>
      <c r="D155" s="0" t="n">
        <v>3</v>
      </c>
      <c r="I155" s="0" t="s">
        <v>110</v>
      </c>
      <c r="J155" s="0" t="s">
        <v>110</v>
      </c>
      <c r="K155" s="0" t="n">
        <v>3</v>
      </c>
      <c r="M155" s="0" t="n">
        <v>72</v>
      </c>
      <c r="O155" s="0" t="n">
        <v>2550</v>
      </c>
      <c r="S155" s="0" t="n">
        <v>0</v>
      </c>
      <c r="T155" s="0" t="n">
        <v>23</v>
      </c>
      <c r="Z155" s="0" t="n">
        <v>48</v>
      </c>
      <c r="AA155" s="0" t="s">
        <v>101</v>
      </c>
    </row>
    <row r="156" customFormat="false" ht="15" hidden="false" customHeight="false" outlineLevel="0" collapsed="false">
      <c r="A156" s="0" t="s">
        <v>109</v>
      </c>
      <c r="B156" s="0" t="s">
        <v>49</v>
      </c>
      <c r="C156" s="0" t="s">
        <v>46</v>
      </c>
      <c r="D156" s="0" t="n">
        <v>3</v>
      </c>
      <c r="I156" s="0" t="s">
        <v>115</v>
      </c>
      <c r="J156" s="0" t="s">
        <v>115</v>
      </c>
      <c r="K156" s="0" t="n">
        <v>1</v>
      </c>
      <c r="M156" s="0" t="n">
        <v>37</v>
      </c>
      <c r="O156" s="0" t="n">
        <v>1250</v>
      </c>
      <c r="S156" s="0" t="n">
        <v>1</v>
      </c>
      <c r="T156" s="0" t="n">
        <v>12</v>
      </c>
      <c r="Z156" s="0" t="n">
        <v>50</v>
      </c>
      <c r="AA156" s="0" t="s">
        <v>101</v>
      </c>
    </row>
    <row r="157" customFormat="false" ht="15" hidden="false" customHeight="false" outlineLevel="0" collapsed="false">
      <c r="A157" s="0" t="s">
        <v>109</v>
      </c>
      <c r="B157" s="0" t="s">
        <v>49</v>
      </c>
      <c r="C157" s="0" t="s">
        <v>46</v>
      </c>
      <c r="D157" s="0" t="n">
        <v>3</v>
      </c>
      <c r="I157" s="0" t="s">
        <v>111</v>
      </c>
      <c r="J157" s="0" t="s">
        <v>111</v>
      </c>
      <c r="K157" s="0" t="n">
        <v>4</v>
      </c>
      <c r="M157" s="0" t="n">
        <v>10</v>
      </c>
      <c r="O157" s="0" t="n">
        <v>250</v>
      </c>
      <c r="S157" s="0" t="n">
        <v>0</v>
      </c>
      <c r="T157" s="0" t="n">
        <v>2</v>
      </c>
      <c r="Z157" s="0" t="n">
        <v>30</v>
      </c>
      <c r="AA157" s="0" t="s">
        <v>101</v>
      </c>
    </row>
    <row r="158" customFormat="false" ht="15" hidden="false" customHeight="false" outlineLevel="0" collapsed="false">
      <c r="A158" s="0" t="s">
        <v>109</v>
      </c>
      <c r="B158" s="0" t="s">
        <v>50</v>
      </c>
      <c r="C158" s="0" t="s">
        <v>51</v>
      </c>
      <c r="D158" s="0" t="n">
        <v>4</v>
      </c>
      <c r="I158" s="0" t="s">
        <v>115</v>
      </c>
      <c r="J158" s="0" t="s">
        <v>115</v>
      </c>
      <c r="K158" s="0" t="n">
        <v>1</v>
      </c>
      <c r="M158" s="0" t="n">
        <v>115</v>
      </c>
      <c r="O158" s="0" t="n">
        <v>4600</v>
      </c>
      <c r="S158" s="0" t="n">
        <v>7</v>
      </c>
      <c r="T158" s="0" t="n">
        <v>35</v>
      </c>
      <c r="Z158" s="0" t="n">
        <v>42</v>
      </c>
      <c r="AA158" s="0" t="s">
        <v>101</v>
      </c>
    </row>
    <row r="159" customFormat="false" ht="15" hidden="false" customHeight="false" outlineLevel="0" collapsed="false">
      <c r="A159" s="0" t="s">
        <v>109</v>
      </c>
      <c r="B159" s="0" t="s">
        <v>50</v>
      </c>
      <c r="C159" s="0" t="s">
        <v>51</v>
      </c>
      <c r="D159" s="0" t="n">
        <v>4</v>
      </c>
      <c r="I159" s="0" t="s">
        <v>110</v>
      </c>
      <c r="J159" s="0" t="s">
        <v>110</v>
      </c>
      <c r="K159" s="0" t="n">
        <v>3</v>
      </c>
      <c r="M159" s="0" t="n">
        <v>122</v>
      </c>
      <c r="O159" s="0" t="n">
        <v>4000</v>
      </c>
      <c r="S159" s="0" t="n">
        <v>2</v>
      </c>
      <c r="T159" s="0" t="n">
        <v>28</v>
      </c>
      <c r="Z159" s="0" t="n">
        <v>38</v>
      </c>
      <c r="AA159" s="0" t="s">
        <v>101</v>
      </c>
    </row>
    <row r="160" customFormat="false" ht="15" hidden="false" customHeight="false" outlineLevel="0" collapsed="false">
      <c r="A160" s="0" t="s">
        <v>109</v>
      </c>
      <c r="B160" s="0" t="s">
        <v>50</v>
      </c>
      <c r="C160" s="0" t="s">
        <v>51</v>
      </c>
      <c r="D160" s="0" t="n">
        <v>4</v>
      </c>
      <c r="I160" s="0" t="s">
        <v>117</v>
      </c>
      <c r="J160" s="0" t="s">
        <v>117</v>
      </c>
      <c r="K160" s="0" t="n">
        <v>5</v>
      </c>
      <c r="M160" s="0" t="n">
        <v>20</v>
      </c>
      <c r="O160" s="0" t="n">
        <v>500</v>
      </c>
      <c r="S160" s="0" t="n">
        <v>0</v>
      </c>
      <c r="T160" s="0" t="n">
        <v>3</v>
      </c>
      <c r="Z160" s="0" t="n">
        <v>25</v>
      </c>
      <c r="AA160" s="0" t="s">
        <v>101</v>
      </c>
    </row>
    <row r="161" customFormat="false" ht="15" hidden="false" customHeight="false" outlineLevel="0" collapsed="false">
      <c r="A161" s="0" t="s">
        <v>118</v>
      </c>
      <c r="B161" s="0" t="s">
        <v>45</v>
      </c>
      <c r="C161" s="0" t="s">
        <v>46</v>
      </c>
      <c r="D161" s="0" t="n">
        <v>1</v>
      </c>
      <c r="I161" s="0" t="s">
        <v>119</v>
      </c>
      <c r="J161" s="0" t="s">
        <v>120</v>
      </c>
      <c r="K161" s="0" t="n">
        <v>1</v>
      </c>
      <c r="M161" s="0" t="n">
        <v>127</v>
      </c>
      <c r="N161" s="0" t="n">
        <v>7</v>
      </c>
      <c r="O161" s="0" t="n">
        <v>4991</v>
      </c>
      <c r="S161" s="0" t="n">
        <v>13</v>
      </c>
      <c r="T161" s="0" t="n">
        <v>19</v>
      </c>
      <c r="Z161" s="0" t="n">
        <v>41.59</v>
      </c>
      <c r="AA161" s="0" t="s">
        <v>47</v>
      </c>
    </row>
    <row r="162" customFormat="false" ht="15" hidden="false" customHeight="false" outlineLevel="0" collapsed="false">
      <c r="A162" s="0" t="s">
        <v>118</v>
      </c>
      <c r="B162" s="0" t="s">
        <v>45</v>
      </c>
      <c r="C162" s="0" t="s">
        <v>46</v>
      </c>
      <c r="D162" s="0" t="n">
        <v>1</v>
      </c>
      <c r="I162" s="0" t="s">
        <v>121</v>
      </c>
      <c r="J162" s="0" t="s">
        <v>122</v>
      </c>
      <c r="K162" s="0" t="n">
        <v>2</v>
      </c>
      <c r="M162" s="0" t="n">
        <v>83</v>
      </c>
      <c r="N162" s="0" t="n">
        <v>6</v>
      </c>
      <c r="O162" s="0" t="n">
        <v>4239</v>
      </c>
      <c r="S162" s="0" t="n">
        <v>17</v>
      </c>
      <c r="T162" s="0" t="n">
        <v>12</v>
      </c>
      <c r="Z162" s="0" t="n">
        <v>55.05</v>
      </c>
      <c r="AA162" s="0" t="s">
        <v>47</v>
      </c>
    </row>
    <row r="163" customFormat="false" ht="15" hidden="false" customHeight="false" outlineLevel="0" collapsed="false">
      <c r="A163" s="0" t="s">
        <v>118</v>
      </c>
      <c r="B163" s="0" t="s">
        <v>48</v>
      </c>
      <c r="C163" s="0" t="s">
        <v>46</v>
      </c>
      <c r="D163" s="0" t="n">
        <v>2</v>
      </c>
      <c r="I163" s="0" t="s">
        <v>119</v>
      </c>
      <c r="J163" s="0" t="s">
        <v>123</v>
      </c>
      <c r="K163" s="0" t="n">
        <v>1</v>
      </c>
      <c r="M163" s="0" t="n">
        <v>146</v>
      </c>
      <c r="O163" s="0" t="n">
        <v>7050</v>
      </c>
      <c r="S163" s="0" t="n">
        <v>22</v>
      </c>
      <c r="T163" s="0" t="n">
        <v>38</v>
      </c>
      <c r="Z163" s="0" t="n">
        <v>52.1</v>
      </c>
      <c r="AA163" s="0" t="s">
        <v>101</v>
      </c>
    </row>
    <row r="164" customFormat="false" ht="15" hidden="false" customHeight="false" outlineLevel="0" collapsed="false">
      <c r="A164" s="0" t="s">
        <v>118</v>
      </c>
      <c r="B164" s="0" t="s">
        <v>48</v>
      </c>
      <c r="C164" s="0" t="s">
        <v>46</v>
      </c>
      <c r="D164" s="0" t="n">
        <v>2</v>
      </c>
      <c r="I164" s="0" t="s">
        <v>121</v>
      </c>
      <c r="J164" s="0" t="s">
        <v>121</v>
      </c>
      <c r="K164" s="0" t="n">
        <v>2</v>
      </c>
      <c r="M164" s="0" t="n">
        <v>151</v>
      </c>
      <c r="O164" s="0" t="n">
        <v>8050</v>
      </c>
      <c r="S164" s="0" t="n">
        <v>33</v>
      </c>
      <c r="T164" s="0" t="n">
        <v>41</v>
      </c>
      <c r="Z164" s="0" t="n">
        <v>65.2</v>
      </c>
      <c r="AA164" s="0" t="s">
        <v>101</v>
      </c>
    </row>
    <row r="165" customFormat="false" ht="15" hidden="false" customHeight="false" outlineLevel="0" collapsed="false">
      <c r="A165" s="0" t="s">
        <v>118</v>
      </c>
      <c r="B165" s="0" t="s">
        <v>49</v>
      </c>
      <c r="C165" s="0" t="s">
        <v>46</v>
      </c>
      <c r="D165" s="0" t="n">
        <v>3</v>
      </c>
      <c r="I165" s="0" t="s">
        <v>119</v>
      </c>
      <c r="J165" s="0" t="s">
        <v>123</v>
      </c>
      <c r="K165" s="0" t="n">
        <v>1</v>
      </c>
      <c r="M165" s="0" t="n">
        <v>51</v>
      </c>
      <c r="O165" s="0" t="n">
        <v>1610</v>
      </c>
      <c r="S165" s="0" t="n">
        <v>1</v>
      </c>
      <c r="T165" s="0" t="n">
        <v>14</v>
      </c>
      <c r="Z165" s="0" t="n">
        <v>40.2</v>
      </c>
      <c r="AA165" s="0" t="s">
        <v>101</v>
      </c>
    </row>
    <row r="166" customFormat="false" ht="15" hidden="false" customHeight="false" outlineLevel="0" collapsed="false">
      <c r="A166" s="0" t="s">
        <v>118</v>
      </c>
      <c r="B166" s="0" t="s">
        <v>49</v>
      </c>
      <c r="C166" s="0" t="s">
        <v>46</v>
      </c>
      <c r="D166" s="0" t="n">
        <v>3</v>
      </c>
      <c r="I166" s="0" t="s">
        <v>121</v>
      </c>
      <c r="J166" s="0" t="s">
        <v>121</v>
      </c>
      <c r="K166" s="0" t="n">
        <v>2</v>
      </c>
      <c r="M166" s="0" t="n">
        <v>67</v>
      </c>
      <c r="O166" s="0" t="n">
        <v>2430</v>
      </c>
      <c r="S166" s="0" t="n">
        <v>0</v>
      </c>
      <c r="T166" s="0" t="n">
        <v>24</v>
      </c>
      <c r="Z166" s="0" t="n">
        <v>72</v>
      </c>
      <c r="AA166" s="0" t="s">
        <v>101</v>
      </c>
    </row>
    <row r="167" customFormat="false" ht="15" hidden="false" customHeight="false" outlineLevel="0" collapsed="false">
      <c r="A167" s="0" t="s">
        <v>118</v>
      </c>
      <c r="B167" s="0" t="s">
        <v>50</v>
      </c>
      <c r="C167" s="0" t="s">
        <v>51</v>
      </c>
      <c r="D167" s="0" t="n">
        <v>4</v>
      </c>
      <c r="I167" s="0" t="s">
        <v>119</v>
      </c>
      <c r="J167" s="0" t="s">
        <v>123</v>
      </c>
      <c r="K167" s="0" t="n">
        <v>1</v>
      </c>
      <c r="M167" s="0" t="n">
        <v>132</v>
      </c>
      <c r="O167" s="0" t="n">
        <v>3850</v>
      </c>
      <c r="S167" s="0" t="n">
        <v>5</v>
      </c>
      <c r="T167" s="0" t="n">
        <v>28</v>
      </c>
      <c r="Z167" s="0" t="n">
        <v>37.5</v>
      </c>
      <c r="AA167" s="0" t="s">
        <v>101</v>
      </c>
    </row>
    <row r="168" customFormat="false" ht="15" hidden="false" customHeight="false" outlineLevel="0" collapsed="false">
      <c r="A168" s="0" t="s">
        <v>118</v>
      </c>
      <c r="B168" s="0" t="s">
        <v>50</v>
      </c>
      <c r="C168" s="0" t="s">
        <v>51</v>
      </c>
      <c r="D168" s="0" t="n">
        <v>4</v>
      </c>
      <c r="I168" s="0" t="s">
        <v>121</v>
      </c>
      <c r="J168" s="0" t="s">
        <v>121</v>
      </c>
      <c r="K168" s="0" t="n">
        <v>2</v>
      </c>
      <c r="M168" s="0" t="n">
        <v>142</v>
      </c>
      <c r="O168" s="0" t="n">
        <v>4250</v>
      </c>
      <c r="S168" s="0" t="n">
        <v>3</v>
      </c>
      <c r="T168" s="0" t="n">
        <v>30</v>
      </c>
      <c r="Z168" s="0" t="n">
        <v>44.1</v>
      </c>
      <c r="AA168" s="0" t="s">
        <v>101</v>
      </c>
    </row>
    <row r="169" customFormat="false" ht="15" hidden="false" customHeight="false" outlineLevel="0" collapsed="false">
      <c r="A169" s="0" t="s">
        <v>124</v>
      </c>
      <c r="B169" s="0" t="s">
        <v>45</v>
      </c>
      <c r="C169" s="0" t="s">
        <v>46</v>
      </c>
      <c r="D169" s="0" t="n">
        <v>1</v>
      </c>
      <c r="I169" s="0" t="s">
        <v>125</v>
      </c>
      <c r="J169" s="0" t="s">
        <v>126</v>
      </c>
      <c r="K169" s="0" t="n">
        <v>1</v>
      </c>
      <c r="M169" s="0" t="n">
        <v>102</v>
      </c>
      <c r="N169" s="0" t="n">
        <v>10</v>
      </c>
      <c r="O169" s="0" t="n">
        <v>4746</v>
      </c>
      <c r="S169" s="0" t="n">
        <v>14</v>
      </c>
      <c r="T169" s="0" t="n">
        <v>16</v>
      </c>
      <c r="Z169" s="0" t="n">
        <v>51.59</v>
      </c>
      <c r="AA169" s="0" t="s">
        <v>47</v>
      </c>
    </row>
    <row r="170" customFormat="false" ht="15" hidden="false" customHeight="false" outlineLevel="0" collapsed="false">
      <c r="A170" s="0" t="s">
        <v>124</v>
      </c>
      <c r="B170" s="0" t="s">
        <v>45</v>
      </c>
      <c r="C170" s="0" t="s">
        <v>46</v>
      </c>
      <c r="D170" s="0" t="n">
        <v>1</v>
      </c>
      <c r="I170" s="0" t="s">
        <v>127</v>
      </c>
      <c r="J170" s="0" t="s">
        <v>128</v>
      </c>
      <c r="K170" s="0" t="n">
        <v>2</v>
      </c>
      <c r="M170" s="0" t="n">
        <v>78</v>
      </c>
      <c r="N170" s="0" t="n">
        <v>0</v>
      </c>
      <c r="O170" s="0" t="n">
        <v>2543</v>
      </c>
      <c r="S170" s="0" t="n">
        <v>7</v>
      </c>
      <c r="T170" s="0" t="n">
        <v>10</v>
      </c>
      <c r="Z170" s="0" t="n">
        <v>32.6</v>
      </c>
      <c r="AA170" s="0" t="s">
        <v>47</v>
      </c>
    </row>
    <row r="171" customFormat="false" ht="15" hidden="false" customHeight="false" outlineLevel="0" collapsed="false">
      <c r="A171" s="0" t="s">
        <v>124</v>
      </c>
      <c r="B171" s="0" t="s">
        <v>45</v>
      </c>
      <c r="C171" s="0" t="s">
        <v>46</v>
      </c>
      <c r="D171" s="0" t="n">
        <v>1</v>
      </c>
      <c r="I171" s="0" t="s">
        <v>129</v>
      </c>
      <c r="J171" s="0" t="s">
        <v>130</v>
      </c>
      <c r="K171" s="0" t="n">
        <v>3</v>
      </c>
      <c r="M171" s="0" t="n">
        <v>30</v>
      </c>
      <c r="N171" s="0" t="n">
        <v>3</v>
      </c>
      <c r="O171" s="0" t="n">
        <v>1941</v>
      </c>
      <c r="S171" s="0" t="n">
        <v>9</v>
      </c>
      <c r="T171" s="0" t="n">
        <v>5</v>
      </c>
      <c r="Z171" s="0" t="n">
        <v>71.89</v>
      </c>
      <c r="AA171" s="0" t="s">
        <v>47</v>
      </c>
    </row>
    <row r="172" customFormat="false" ht="15" hidden="false" customHeight="false" outlineLevel="0" collapsed="false">
      <c r="A172" s="0" t="s">
        <v>124</v>
      </c>
      <c r="B172" s="0" t="s">
        <v>48</v>
      </c>
      <c r="C172" s="0" t="s">
        <v>46</v>
      </c>
      <c r="D172" s="0" t="n">
        <v>2</v>
      </c>
      <c r="I172" s="0" t="s">
        <v>125</v>
      </c>
      <c r="J172" s="0" t="s">
        <v>126</v>
      </c>
      <c r="K172" s="0" t="n">
        <v>1</v>
      </c>
      <c r="M172" s="0" t="n">
        <v>170</v>
      </c>
      <c r="O172" s="0" t="n">
        <v>10000</v>
      </c>
      <c r="S172" s="0" t="n">
        <v>40</v>
      </c>
      <c r="T172" s="0" t="n">
        <v>45</v>
      </c>
      <c r="Z172" s="0" t="n">
        <v>75</v>
      </c>
      <c r="AA172" s="0" t="s">
        <v>101</v>
      </c>
    </row>
    <row r="173" customFormat="false" ht="15" hidden="false" customHeight="false" outlineLevel="0" collapsed="false">
      <c r="A173" s="0" t="s">
        <v>124</v>
      </c>
      <c r="B173" s="0" t="s">
        <v>48</v>
      </c>
      <c r="C173" s="0" t="s">
        <v>46</v>
      </c>
      <c r="D173" s="0" t="n">
        <v>2</v>
      </c>
      <c r="I173" s="0" t="s">
        <v>127</v>
      </c>
      <c r="J173" s="0" t="s">
        <v>131</v>
      </c>
      <c r="K173" s="0" t="n">
        <v>2</v>
      </c>
      <c r="M173" s="0" t="n">
        <v>120</v>
      </c>
      <c r="O173" s="0" t="n">
        <v>4000</v>
      </c>
      <c r="S173" s="0" t="n">
        <v>10</v>
      </c>
      <c r="T173" s="0" t="n">
        <v>20</v>
      </c>
      <c r="Z173" s="0" t="n">
        <v>35</v>
      </c>
      <c r="AA173" s="0" t="s">
        <v>101</v>
      </c>
    </row>
    <row r="174" customFormat="false" ht="15" hidden="false" customHeight="false" outlineLevel="0" collapsed="false">
      <c r="A174" s="0" t="s">
        <v>124</v>
      </c>
      <c r="B174" s="0" t="s">
        <v>49</v>
      </c>
      <c r="C174" s="0" t="s">
        <v>46</v>
      </c>
      <c r="D174" s="0" t="n">
        <v>3</v>
      </c>
      <c r="I174" s="0" t="s">
        <v>125</v>
      </c>
      <c r="J174" s="0" t="s">
        <v>126</v>
      </c>
      <c r="K174" s="0" t="n">
        <v>1</v>
      </c>
      <c r="M174" s="0" t="n">
        <v>80</v>
      </c>
      <c r="O174" s="0" t="n">
        <v>3000</v>
      </c>
      <c r="S174" s="0" t="n">
        <v>1</v>
      </c>
      <c r="T174" s="0" t="n">
        <v>28</v>
      </c>
      <c r="Z174" s="0" t="n">
        <v>70</v>
      </c>
      <c r="AA174" s="0" t="s">
        <v>101</v>
      </c>
    </row>
    <row r="175" customFormat="false" ht="15" hidden="false" customHeight="false" outlineLevel="0" collapsed="false">
      <c r="A175" s="0" t="s">
        <v>124</v>
      </c>
      <c r="B175" s="0" t="s">
        <v>49</v>
      </c>
      <c r="C175" s="0" t="s">
        <v>46</v>
      </c>
      <c r="D175" s="0" t="n">
        <v>3</v>
      </c>
      <c r="I175" s="0" t="s">
        <v>127</v>
      </c>
      <c r="J175" s="0" t="s">
        <v>128</v>
      </c>
      <c r="K175" s="0" t="n">
        <v>2</v>
      </c>
      <c r="M175" s="0" t="n">
        <v>35</v>
      </c>
      <c r="O175" s="0" t="n">
        <v>1100</v>
      </c>
      <c r="S175" s="0" t="n">
        <v>0</v>
      </c>
      <c r="T175" s="0" t="n">
        <v>10</v>
      </c>
      <c r="Z175" s="0" t="n">
        <v>32</v>
      </c>
      <c r="AA175" s="0" t="s">
        <v>101</v>
      </c>
    </row>
    <row r="176" customFormat="false" ht="15" hidden="false" customHeight="false" outlineLevel="0" collapsed="false">
      <c r="A176" s="0" t="s">
        <v>124</v>
      </c>
      <c r="B176" s="0" t="s">
        <v>50</v>
      </c>
      <c r="C176" s="0" t="s">
        <v>51</v>
      </c>
      <c r="D176" s="0" t="n">
        <v>4</v>
      </c>
      <c r="I176" s="0" t="s">
        <v>125</v>
      </c>
      <c r="J176" s="0" t="s">
        <v>126</v>
      </c>
      <c r="K176" s="0" t="n">
        <v>1</v>
      </c>
      <c r="M176" s="0" t="n">
        <v>130</v>
      </c>
      <c r="O176" s="0" t="n">
        <v>4800</v>
      </c>
      <c r="S176" s="0" t="n">
        <v>6</v>
      </c>
      <c r="T176" s="0" t="n">
        <v>35</v>
      </c>
      <c r="Z176" s="0" t="n">
        <v>48</v>
      </c>
      <c r="AA176" s="0" t="s">
        <v>101</v>
      </c>
    </row>
    <row r="177" customFormat="false" ht="15" hidden="false" customHeight="false" outlineLevel="0" collapsed="false">
      <c r="A177" s="0" t="s">
        <v>124</v>
      </c>
      <c r="B177" s="0" t="s">
        <v>50</v>
      </c>
      <c r="C177" s="0" t="s">
        <v>51</v>
      </c>
      <c r="D177" s="0" t="n">
        <v>4</v>
      </c>
      <c r="I177" s="0" t="s">
        <v>127</v>
      </c>
      <c r="J177" s="0" t="s">
        <v>128</v>
      </c>
      <c r="K177" s="0" t="n">
        <v>2</v>
      </c>
      <c r="M177" s="0" t="n">
        <v>120</v>
      </c>
      <c r="O177" s="0" t="n">
        <v>3200</v>
      </c>
      <c r="S177" s="0" t="n">
        <v>3</v>
      </c>
      <c r="T177" s="0" t="n">
        <v>23</v>
      </c>
      <c r="Z177" s="0" t="n">
        <v>28.5</v>
      </c>
      <c r="AA177" s="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5" t="s">
        <v>132</v>
      </c>
      <c r="B1" s="5" t="s">
        <v>133</v>
      </c>
      <c r="C1" s="5" t="s">
        <v>134</v>
      </c>
    </row>
    <row r="2" customFormat="false" ht="15" hidden="false" customHeight="false" outlineLevel="0" collapsed="false">
      <c r="A2" s="6" t="s">
        <v>17</v>
      </c>
      <c r="B2" s="6" t="s">
        <v>135</v>
      </c>
      <c r="C2" s="6" t="s">
        <v>136</v>
      </c>
    </row>
    <row r="3" customFormat="false" ht="15" hidden="false" customHeight="false" outlineLevel="0" collapsed="false">
      <c r="A3" s="6" t="s">
        <v>18</v>
      </c>
      <c r="B3" s="6" t="s">
        <v>137</v>
      </c>
      <c r="C3" s="6" t="s">
        <v>136</v>
      </c>
    </row>
    <row r="4" customFormat="false" ht="15" hidden="false" customHeight="false" outlineLevel="0" collapsed="false">
      <c r="A4" s="6" t="s">
        <v>19</v>
      </c>
      <c r="B4" s="6" t="s">
        <v>138</v>
      </c>
      <c r="C4" s="6" t="s">
        <v>136</v>
      </c>
    </row>
    <row r="5" customFormat="false" ht="15" hidden="false" customHeight="false" outlineLevel="0" collapsed="false">
      <c r="A5" s="6" t="s">
        <v>20</v>
      </c>
      <c r="B5" s="6" t="s">
        <v>139</v>
      </c>
      <c r="C5" s="6" t="s">
        <v>136</v>
      </c>
    </row>
    <row r="6" customFormat="false" ht="15" hidden="false" customHeight="false" outlineLevel="0" collapsed="false">
      <c r="A6" s="6" t="s">
        <v>21</v>
      </c>
      <c r="B6" s="6" t="s">
        <v>140</v>
      </c>
      <c r="C6" s="6" t="s">
        <v>21</v>
      </c>
    </row>
    <row r="7" customFormat="false" ht="15" hidden="false" customHeight="false" outlineLevel="0" collapsed="false">
      <c r="A7" s="6" t="s">
        <v>22</v>
      </c>
      <c r="B7" s="6" t="s">
        <v>141</v>
      </c>
      <c r="C7" s="6" t="s">
        <v>23</v>
      </c>
    </row>
    <row r="8" customFormat="false" ht="15" hidden="false" customHeight="false" outlineLevel="0" collapsed="false">
      <c r="A8" s="6" t="s">
        <v>23</v>
      </c>
      <c r="B8" s="6" t="s">
        <v>142</v>
      </c>
      <c r="C8" s="6" t="s">
        <v>23</v>
      </c>
    </row>
    <row r="9" customFormat="false" ht="15" hidden="false" customHeight="false" outlineLevel="0" collapsed="false">
      <c r="A9" s="6" t="s">
        <v>24</v>
      </c>
      <c r="B9" s="6" t="s">
        <v>143</v>
      </c>
      <c r="C9" s="6" t="s">
        <v>23</v>
      </c>
    </row>
    <row r="10" customFormat="false" ht="26.85" hidden="false" customHeight="false" outlineLevel="0" collapsed="false">
      <c r="A10" s="6" t="s">
        <v>25</v>
      </c>
      <c r="B10" s="6" t="s">
        <v>144</v>
      </c>
      <c r="C10" s="6" t="s">
        <v>145</v>
      </c>
    </row>
    <row r="11" customFormat="false" ht="15" hidden="false" customHeight="false" outlineLevel="0" collapsed="false">
      <c r="A11" s="6" t="s">
        <v>26</v>
      </c>
      <c r="B11" s="6" t="s">
        <v>146</v>
      </c>
      <c r="C11" s="6" t="s">
        <v>147</v>
      </c>
    </row>
    <row r="12" customFormat="false" ht="15" hidden="false" customHeight="false" outlineLevel="0" collapsed="false">
      <c r="A12" s="6" t="s">
        <v>27</v>
      </c>
      <c r="B12" s="6" t="s">
        <v>148</v>
      </c>
      <c r="C12" s="6" t="s">
        <v>149</v>
      </c>
    </row>
    <row r="13" customFormat="false" ht="15" hidden="false" customHeight="false" outlineLevel="0" collapsed="false">
      <c r="A13" s="6" t="s">
        <v>28</v>
      </c>
      <c r="B13" s="6" t="s">
        <v>150</v>
      </c>
      <c r="C13" s="6" t="s">
        <v>151</v>
      </c>
    </row>
    <row r="14" customFormat="false" ht="15" hidden="false" customHeight="false" outlineLevel="0" collapsed="false">
      <c r="A14" s="6" t="s">
        <v>29</v>
      </c>
      <c r="B14" s="6" t="s">
        <v>152</v>
      </c>
      <c r="C14" s="6" t="s">
        <v>153</v>
      </c>
    </row>
    <row r="15" customFormat="false" ht="15" hidden="false" customHeight="false" outlineLevel="0" collapsed="false">
      <c r="A15" s="6" t="s">
        <v>30</v>
      </c>
      <c r="B15" s="6" t="s">
        <v>154</v>
      </c>
      <c r="C15" s="6" t="s">
        <v>153</v>
      </c>
    </row>
    <row r="16" customFormat="false" ht="15" hidden="false" customHeight="false" outlineLevel="0" collapsed="false">
      <c r="A16" s="6" t="s">
        <v>31</v>
      </c>
      <c r="B16" s="6" t="s">
        <v>155</v>
      </c>
      <c r="C16" s="6" t="s">
        <v>153</v>
      </c>
    </row>
    <row r="17" customFormat="false" ht="15" hidden="false" customHeight="false" outlineLevel="0" collapsed="false">
      <c r="A17" s="6" t="s">
        <v>32</v>
      </c>
      <c r="B17" s="6" t="s">
        <v>156</v>
      </c>
      <c r="C17" s="6" t="s">
        <v>151</v>
      </c>
    </row>
    <row r="18" customFormat="false" ht="15" hidden="false" customHeight="false" outlineLevel="0" collapsed="false">
      <c r="A18" s="6" t="s">
        <v>33</v>
      </c>
      <c r="B18" s="6" t="s">
        <v>157</v>
      </c>
      <c r="C18" s="6" t="s">
        <v>151</v>
      </c>
    </row>
    <row r="19" customFormat="false" ht="15" hidden="false" customHeight="false" outlineLevel="0" collapsed="false">
      <c r="A19" s="6" t="s">
        <v>34</v>
      </c>
      <c r="B19" s="6" t="s">
        <v>158</v>
      </c>
      <c r="C19" s="6" t="s">
        <v>151</v>
      </c>
    </row>
    <row r="20" customFormat="false" ht="15" hidden="false" customHeight="false" outlineLevel="0" collapsed="false">
      <c r="A20" s="6" t="s">
        <v>35</v>
      </c>
      <c r="B20" s="6" t="s">
        <v>159</v>
      </c>
      <c r="C20" s="6" t="s">
        <v>153</v>
      </c>
    </row>
    <row r="21" customFormat="false" ht="15" hidden="false" customHeight="false" outlineLevel="0" collapsed="false">
      <c r="A21" s="6" t="s">
        <v>36</v>
      </c>
      <c r="B21" s="6" t="s">
        <v>160</v>
      </c>
      <c r="C21" s="6" t="s">
        <v>153</v>
      </c>
    </row>
    <row r="22" customFormat="false" ht="15" hidden="false" customHeight="false" outlineLevel="0" collapsed="false">
      <c r="A22" s="6" t="s">
        <v>37</v>
      </c>
      <c r="B22" s="6" t="s">
        <v>161</v>
      </c>
      <c r="C22" s="6" t="s">
        <v>44</v>
      </c>
    </row>
    <row r="23" customFormat="false" ht="15" hidden="false" customHeight="false" outlineLevel="0" collapsed="false">
      <c r="A23" s="6" t="s">
        <v>38</v>
      </c>
      <c r="B23" s="6" t="s">
        <v>162</v>
      </c>
      <c r="C23" s="6" t="s">
        <v>151</v>
      </c>
    </row>
    <row r="24" customFormat="false" ht="15" hidden="false" customHeight="false" outlineLevel="0" collapsed="false">
      <c r="A24" s="6" t="s">
        <v>39</v>
      </c>
      <c r="B24" s="6" t="s">
        <v>163</v>
      </c>
      <c r="C24" s="6" t="s">
        <v>151</v>
      </c>
    </row>
    <row r="25" customFormat="false" ht="15" hidden="false" customHeight="false" outlineLevel="0" collapsed="false">
      <c r="A25" s="6" t="s">
        <v>40</v>
      </c>
      <c r="B25" s="6" t="s">
        <v>164</v>
      </c>
      <c r="C25" s="6" t="s">
        <v>151</v>
      </c>
    </row>
    <row r="26" customFormat="false" ht="15" hidden="false" customHeight="false" outlineLevel="0" collapsed="false">
      <c r="A26" s="6" t="s">
        <v>41</v>
      </c>
      <c r="B26" s="6" t="s">
        <v>165</v>
      </c>
      <c r="C26" s="6" t="s">
        <v>99</v>
      </c>
    </row>
    <row r="27" customFormat="false" ht="15" hidden="false" customHeight="false" outlineLevel="0" collapsed="false">
      <c r="A27" s="6" t="s">
        <v>42</v>
      </c>
      <c r="B27" s="6" t="s">
        <v>166</v>
      </c>
      <c r="C27" s="6" t="s">
        <v>147</v>
      </c>
    </row>
    <row r="28" customFormat="false" ht="15" hidden="false" customHeight="false" outlineLevel="0" collapsed="false">
      <c r="A28" s="6" t="s">
        <v>43</v>
      </c>
      <c r="B28" s="6" t="s">
        <v>167</v>
      </c>
      <c r="C28" s="6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5" t="s">
        <v>168</v>
      </c>
      <c r="B1" s="5" t="s">
        <v>169</v>
      </c>
      <c r="C1" s="5" t="s">
        <v>170</v>
      </c>
      <c r="D1" s="5" t="s">
        <v>171</v>
      </c>
    </row>
    <row r="2" customFormat="false" ht="26.85" hidden="false" customHeight="false" outlineLevel="0" collapsed="false">
      <c r="A2" s="6" t="s">
        <v>172</v>
      </c>
      <c r="B2" s="6" t="s">
        <v>173</v>
      </c>
      <c r="C2" s="6" t="s">
        <v>47</v>
      </c>
      <c r="D2" s="6" t="s">
        <v>174</v>
      </c>
    </row>
    <row r="3" customFormat="false" ht="15" hidden="false" customHeight="false" outlineLevel="0" collapsed="false">
      <c r="A3" s="6" t="s">
        <v>175</v>
      </c>
      <c r="B3" s="6" t="s">
        <v>176</v>
      </c>
      <c r="C3" s="6" t="s">
        <v>47</v>
      </c>
      <c r="D3" s="6" t="s">
        <v>177</v>
      </c>
    </row>
    <row r="4" customFormat="false" ht="15" hidden="false" customHeight="false" outlineLevel="0" collapsed="false">
      <c r="A4" s="6" t="s">
        <v>178</v>
      </c>
      <c r="B4" s="6" t="s">
        <v>176</v>
      </c>
      <c r="C4" s="6" t="s">
        <v>47</v>
      </c>
      <c r="D4" s="6"/>
    </row>
    <row r="5" customFormat="false" ht="15" hidden="false" customHeight="false" outlineLevel="0" collapsed="false">
      <c r="A5" s="6" t="s">
        <v>179</v>
      </c>
      <c r="B5" s="6" t="s">
        <v>180</v>
      </c>
      <c r="C5" s="6" t="s">
        <v>47</v>
      </c>
      <c r="D5" s="6" t="s">
        <v>181</v>
      </c>
    </row>
    <row r="6" customFormat="false" ht="15" hidden="false" customHeight="false" outlineLevel="0" collapsed="false">
      <c r="A6" s="6" t="s">
        <v>182</v>
      </c>
      <c r="B6" s="6" t="s">
        <v>183</v>
      </c>
      <c r="C6" s="6" t="s">
        <v>52</v>
      </c>
      <c r="D6" s="6"/>
    </row>
    <row r="7" customFormat="false" ht="26.85" hidden="false" customHeight="false" outlineLevel="0" collapsed="false">
      <c r="A7" s="6" t="s">
        <v>184</v>
      </c>
      <c r="B7" s="6" t="s">
        <v>185</v>
      </c>
      <c r="C7" s="6" t="s">
        <v>107</v>
      </c>
      <c r="D7" s="6" t="s">
        <v>186</v>
      </c>
    </row>
    <row r="8" customFormat="false" ht="26.85" hidden="false" customHeight="false" outlineLevel="0" collapsed="false">
      <c r="A8" s="6" t="s">
        <v>187</v>
      </c>
      <c r="B8" s="6" t="s">
        <v>188</v>
      </c>
      <c r="C8" s="6" t="s">
        <v>107</v>
      </c>
      <c r="D8" s="6" t="s">
        <v>189</v>
      </c>
    </row>
    <row r="9" customFormat="false" ht="15" hidden="false" customHeight="false" outlineLevel="0" collapsed="false">
      <c r="A9" s="6" t="s">
        <v>190</v>
      </c>
      <c r="B9" s="6" t="s">
        <v>191</v>
      </c>
      <c r="C9" s="6" t="s">
        <v>101</v>
      </c>
      <c r="D9" s="6" t="s">
        <v>192</v>
      </c>
    </row>
    <row r="10" customFormat="false" ht="26.85" hidden="false" customHeight="false" outlineLevel="0" collapsed="false">
      <c r="A10" s="6" t="s">
        <v>193</v>
      </c>
      <c r="B10" s="6" t="s">
        <v>191</v>
      </c>
      <c r="C10" s="6" t="s">
        <v>101</v>
      </c>
      <c r="D10" s="6" t="s">
        <v>194</v>
      </c>
    </row>
    <row r="11" customFormat="false" ht="26.85" hidden="false" customHeight="false" outlineLevel="0" collapsed="false">
      <c r="A11" s="6" t="s">
        <v>195</v>
      </c>
      <c r="B11" s="6" t="s">
        <v>196</v>
      </c>
      <c r="C11" s="6" t="s">
        <v>197</v>
      </c>
      <c r="D11" s="6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7" t="s">
        <v>199</v>
      </c>
    </row>
    <row r="3" customFormat="false" ht="15" hidden="false" customHeight="false" outlineLevel="0" collapsed="false">
      <c r="A3" s="5" t="s">
        <v>18</v>
      </c>
      <c r="B3" s="5" t="s">
        <v>200</v>
      </c>
      <c r="C3" s="5" t="s">
        <v>201</v>
      </c>
      <c r="D3" s="5" t="s">
        <v>202</v>
      </c>
      <c r="E3" s="5" t="s">
        <v>203</v>
      </c>
      <c r="F3" s="5" t="s">
        <v>204</v>
      </c>
      <c r="G3" s="5" t="s">
        <v>205</v>
      </c>
    </row>
    <row r="4" customFormat="false" ht="15" hidden="false" customHeight="false" outlineLevel="0" collapsed="false">
      <c r="A4" s="8" t="s">
        <v>45</v>
      </c>
      <c r="B4" s="9" t="n">
        <f aca="false">SUMIFS(Stats!$O:$O,Stats!$A:$A,"Career",Stats!$B:$B,$A4)</f>
        <v>9230</v>
      </c>
      <c r="C4" s="9" t="n">
        <f aca="false">SUMIFS(Stats!$O:$O,Stats!$A:$A,"Year",Stats!$B:$B,$A4)</f>
        <v>9230</v>
      </c>
      <c r="D4" s="9" t="n">
        <f aca="false">SUMIFS(Stats!$O:$O,Stats!$A:$A,"Opponent",Stats!$B:$B,$A4)</f>
        <v>9230</v>
      </c>
      <c r="E4" s="8" t="n">
        <f aca="false">C4-B4</f>
        <v>0</v>
      </c>
      <c r="F4" s="8" t="n">
        <f aca="false">D4-B4</f>
        <v>0</v>
      </c>
      <c r="G4" s="8" t="str">
        <f aca="false">IF(AND(E4=0,F4=0),"OK","CHECK")</f>
        <v>OK</v>
      </c>
    </row>
    <row r="5" customFormat="false" ht="15" hidden="false" customHeight="false" outlineLevel="0" collapsed="false">
      <c r="A5" s="8" t="s">
        <v>48</v>
      </c>
      <c r="B5" s="9" t="n">
        <f aca="false">SUMIFS(Stats!$O:$O,Stats!$A:$A,"Career",Stats!$B:$B,$A5)</f>
        <v>15109</v>
      </c>
      <c r="C5" s="9" t="n">
        <f aca="false">SUMIFS(Stats!$O:$O,Stats!$A:$A,"Year",Stats!$B:$B,$A5)</f>
        <v>15109</v>
      </c>
      <c r="D5" s="9" t="n">
        <f aca="false">SUMIFS(Stats!$O:$O,Stats!$A:$A,"Opponent",Stats!$B:$B,$A5)</f>
        <v>15109</v>
      </c>
      <c r="E5" s="8" t="n">
        <f aca="false">C5-B5</f>
        <v>0</v>
      </c>
      <c r="F5" s="8" t="n">
        <f aca="false">D5-B5</f>
        <v>0</v>
      </c>
      <c r="G5" s="8" t="str">
        <f aca="false">IF(AND(E5=0,F5=0),"OK","CHECK")</f>
        <v>OK</v>
      </c>
    </row>
    <row r="6" customFormat="false" ht="15" hidden="false" customHeight="false" outlineLevel="0" collapsed="false">
      <c r="A6" s="8" t="s">
        <v>49</v>
      </c>
      <c r="B6" s="9" t="n">
        <f aca="false">SUMIFS(Stats!$O:$O,Stats!$A:$A,"Career",Stats!$B:$B,$A6)</f>
        <v>4188</v>
      </c>
      <c r="C6" s="9" t="n">
        <f aca="false">SUMIFS(Stats!$O:$O,Stats!$A:$A,"Year",Stats!$B:$B,$A6)</f>
        <v>4188</v>
      </c>
      <c r="D6" s="9" t="n">
        <f aca="false">SUMIFS(Stats!$O:$O,Stats!$A:$A,"Opponent",Stats!$B:$B,$A6)</f>
        <v>4188</v>
      </c>
      <c r="E6" s="8" t="n">
        <f aca="false">C6-B6</f>
        <v>0</v>
      </c>
      <c r="F6" s="8" t="n">
        <f aca="false">D6-B6</f>
        <v>0</v>
      </c>
      <c r="G6" s="8" t="str">
        <f aca="false">IF(AND(E6=0,F6=0),"OK","CHECK")</f>
        <v>OK</v>
      </c>
    </row>
    <row r="7" customFormat="false" ht="15" hidden="false" customHeight="false" outlineLevel="0" collapsed="false">
      <c r="A7" s="8" t="s">
        <v>50</v>
      </c>
      <c r="B7" s="9" t="n">
        <f aca="false">SUMIFS(Stats!$O:$O,Stats!$A:$A,"Career",Stats!$B:$B,$A7)</f>
        <v>9336</v>
      </c>
      <c r="C7" s="9" t="n">
        <f aca="false">SUMIFS(Stats!$O:$O,Stats!$A:$A,"Year",Stats!$B:$B,$A7)</f>
        <v>9336</v>
      </c>
      <c r="D7" s="9" t="n">
        <f aca="false">SUMIFS(Stats!$O:$O,Stats!$A:$A,"Opponent",Stats!$B:$B,$A7)</f>
        <v>9336</v>
      </c>
      <c r="E7" s="8" t="n">
        <f aca="false">C7-B7</f>
        <v>0</v>
      </c>
      <c r="F7" s="8" t="n">
        <f aca="false">D7-B7</f>
        <v>0</v>
      </c>
      <c r="G7" s="8" t="str">
        <f aca="false">IF(AND(E7=0,F7=0),"OK","CHECK")</f>
        <v>OK</v>
      </c>
    </row>
    <row r="8" customFormat="false" ht="15" hidden="false" customHeight="false" outlineLevel="0" collapsed="false">
      <c r="A8" s="8" t="s">
        <v>206</v>
      </c>
      <c r="B8" s="9" t="n">
        <f aca="false">SUM(B4:B7)</f>
        <v>37863</v>
      </c>
      <c r="C8" s="9" t="n">
        <f aca="false">SUM(C4:C7)</f>
        <v>37863</v>
      </c>
      <c r="D8" s="9" t="n">
        <f aca="false">SUM(D4:D7)</f>
        <v>37863</v>
      </c>
      <c r="E8" s="9" t="n">
        <f aca="false">SUM(E4:E7)</f>
        <v>0</v>
      </c>
      <c r="F8" s="9" t="n">
        <f aca="false">SUM(F4:F7)</f>
        <v>0</v>
      </c>
      <c r="G8" s="8" t="str">
        <f aca="false">IF(AND(E8=0,F8=0),"OK","CHECK")</f>
        <v>OK</v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false" outlineLevel="0" collapsed="false">
      <c r="A10" s="5" t="s">
        <v>18</v>
      </c>
      <c r="B10" s="5" t="s">
        <v>207</v>
      </c>
      <c r="C10" s="5" t="s">
        <v>208</v>
      </c>
      <c r="D10" s="5" t="s">
        <v>209</v>
      </c>
      <c r="E10" s="5"/>
      <c r="F10" s="5"/>
      <c r="G10" s="5" t="s">
        <v>205</v>
      </c>
    </row>
    <row r="11" customFormat="false" ht="15" hidden="false" customHeight="false" outlineLevel="0" collapsed="false">
      <c r="A11" s="8" t="s">
        <v>45</v>
      </c>
      <c r="B11" s="9" t="n">
        <f aca="false">SUMIFS(Stats!$L:$L,Stats!$A:$A,"Career",Stats!$B:$B,$A11)</f>
        <v>123</v>
      </c>
      <c r="C11" s="9" t="n">
        <f aca="false">SUMIFS(Stats!$L:$L,Stats!$A:$A,"Year",Stats!$B:$B,$A11)</f>
        <v>123</v>
      </c>
      <c r="D11" s="8" t="n">
        <f aca="false">C11-B11</f>
        <v>0</v>
      </c>
      <c r="E11" s="10"/>
      <c r="F11" s="10"/>
      <c r="G11" s="8" t="str">
        <f aca="false">IF(D11=0,"OK","CHECK")</f>
        <v>OK</v>
      </c>
    </row>
    <row r="12" customFormat="false" ht="15" hidden="false" customHeight="false" outlineLevel="0" collapsed="false">
      <c r="A12" s="8" t="s">
        <v>48</v>
      </c>
      <c r="B12" s="9" t="n">
        <f aca="false">SUMIFS(Stats!$L:$L,Stats!$A:$A,"Career",Stats!$B:$B,$A12)</f>
        <v>317</v>
      </c>
      <c r="C12" s="9" t="n">
        <f aca="false">SUMIFS(Stats!$L:$L,Stats!$A:$A,"Year",Stats!$B:$B,$A12)</f>
        <v>317</v>
      </c>
      <c r="D12" s="8" t="n">
        <f aca="false">C12-B12</f>
        <v>0</v>
      </c>
      <c r="E12" s="10"/>
      <c r="F12" s="10"/>
      <c r="G12" s="8" t="str">
        <f aca="false">IF(D12=0,"OK","CHECK")</f>
        <v>OK</v>
      </c>
    </row>
    <row r="13" customFormat="false" ht="15" hidden="false" customHeight="false" outlineLevel="0" collapsed="false">
      <c r="A13" s="8" t="s">
        <v>49</v>
      </c>
      <c r="B13" s="9" t="n">
        <f aca="false">SUMIFS(Stats!$L:$L,Stats!$A:$A,"Career",Stats!$B:$B,$A13)</f>
        <v>125</v>
      </c>
      <c r="C13" s="9" t="n">
        <f aca="false">SUMIFS(Stats!$L:$L,Stats!$A:$A,"Year",Stats!$B:$B,$A13)</f>
        <v>125</v>
      </c>
      <c r="D13" s="8" t="n">
        <f aca="false">C13-B13</f>
        <v>0</v>
      </c>
      <c r="E13" s="10"/>
      <c r="F13" s="10"/>
      <c r="G13" s="8" t="str">
        <f aca="false">IF(D13=0,"OK","CHECK")</f>
        <v>OK</v>
      </c>
    </row>
    <row r="14" customFormat="false" ht="15" hidden="false" customHeight="false" outlineLevel="0" collapsed="false">
      <c r="A14" s="8" t="s">
        <v>50</v>
      </c>
      <c r="B14" s="9" t="n">
        <f aca="false">SUMIFS(Stats!$L:$L,Stats!$A:$A,"Career",Stats!$B:$B,$A14)</f>
        <v>283</v>
      </c>
      <c r="C14" s="9" t="n">
        <f aca="false">SUMIFS(Stats!$L:$L,Stats!$A:$A,"Year",Stats!$B:$B,$A14)</f>
        <v>283</v>
      </c>
      <c r="D14" s="8" t="n">
        <f aca="false">C14-B14</f>
        <v>0</v>
      </c>
      <c r="E14" s="10"/>
      <c r="F14" s="10"/>
      <c r="G14" s="8" t="str">
        <f aca="false">IF(D14=0,"OK","CHECK")</f>
        <v>OK</v>
      </c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</row>
    <row r="16" customFormat="false" ht="26.85" hidden="false" customHeight="false" outlineLevel="0" collapsed="false">
      <c r="A16" s="5" t="s">
        <v>18</v>
      </c>
      <c r="B16" s="5" t="s">
        <v>210</v>
      </c>
      <c r="C16" s="5" t="s">
        <v>211</v>
      </c>
      <c r="D16" s="5" t="s">
        <v>209</v>
      </c>
      <c r="E16" s="5" t="s">
        <v>212</v>
      </c>
      <c r="F16" s="5"/>
      <c r="G16" s="5" t="s">
        <v>205</v>
      </c>
    </row>
    <row r="17" customFormat="false" ht="15" hidden="false" customHeight="false" outlineLevel="0" collapsed="false">
      <c r="A17" s="8" t="s">
        <v>45</v>
      </c>
      <c r="B17" s="9" t="n">
        <f aca="false">SUMIFS(Stats!$M:$M,Stats!$A:$A,"Career",Stats!$B:$B,$A17)-SUMIFS(Stats!$N:$N,Stats!$A:$A,"Career",Stats!$B:$B,$A17)</f>
        <v>197</v>
      </c>
      <c r="C17" s="9" t="n">
        <f aca="false">SUMIFS(Stats!$Y:$Y,Stats!$A:$A,"Dismissal",Stats!$B:$B,$A17)</f>
        <v>184</v>
      </c>
      <c r="D17" s="8" t="n">
        <f aca="false">C17-B17</f>
        <v>-13</v>
      </c>
      <c r="E17" s="8" t="s">
        <v>101</v>
      </c>
      <c r="F17" s="10"/>
      <c r="G17" s="8" t="str">
        <f aca="false">IF(D17=0,"OK","CHECK")</f>
        <v>CHECK</v>
      </c>
    </row>
    <row r="18" customFormat="false" ht="15" hidden="false" customHeight="false" outlineLevel="0" collapsed="false">
      <c r="A18" s="8" t="s">
        <v>48</v>
      </c>
      <c r="B18" s="9" t="n">
        <f aca="false">SUMIFS(Stats!$M:$M,Stats!$A:$A,"Career",Stats!$B:$B,$A18)-SUMIFS(Stats!$N:$N,Stats!$A:$A,"Career",Stats!$B:$B,$A18)</f>
        <v>257</v>
      </c>
      <c r="C18" s="9" t="n">
        <f aca="false">SUMIFS(Stats!$Y:$Y,Stats!$A:$A,"Dismissal",Stats!$B:$B,$A18)</f>
        <v>239</v>
      </c>
      <c r="D18" s="8" t="n">
        <f aca="false">C18-B18</f>
        <v>-18</v>
      </c>
      <c r="E18" s="8" t="s">
        <v>101</v>
      </c>
      <c r="F18" s="10"/>
      <c r="G18" s="8" t="str">
        <f aca="false">IF(D18=0,"OK","CHECK")</f>
        <v>CHECK</v>
      </c>
    </row>
    <row r="19" customFormat="false" ht="15" hidden="false" customHeight="false" outlineLevel="0" collapsed="false">
      <c r="A19" s="8" t="s">
        <v>49</v>
      </c>
      <c r="B19" s="9" t="n">
        <f aca="false">SUMIFS(Stats!$M:$M,Stats!$A:$A,"Career",Stats!$B:$B,$A19)-SUMIFS(Stats!$N:$N,Stats!$A:$A,"Career",Stats!$B:$B,$A19)</f>
        <v>86</v>
      </c>
      <c r="C19" s="9" t="n">
        <f aca="false">SUMIFS(Stats!$Y:$Y,Stats!$A:$A,"Dismissal",Stats!$B:$B,$A19)</f>
        <v>86</v>
      </c>
      <c r="D19" s="8" t="n">
        <f aca="false">C19-B19</f>
        <v>0</v>
      </c>
      <c r="E19" s="8" t="s">
        <v>107</v>
      </c>
      <c r="F19" s="10"/>
      <c r="G19" s="8" t="str">
        <f aca="false">IF(D19=0,"OK","CHECK")</f>
        <v>OK</v>
      </c>
    </row>
    <row r="20" customFormat="false" ht="15" hidden="false" customHeight="false" outlineLevel="0" collapsed="false">
      <c r="A20" s="8" t="s">
        <v>50</v>
      </c>
      <c r="B20" s="9" t="n">
        <f aca="false">SUMIFS(Stats!$M:$M,Stats!$A:$A,"Career",Stats!$B:$B,$A20)-SUMIFS(Stats!$N:$N,Stats!$A:$A,"Career",Stats!$B:$B,$A20)</f>
        <v>231</v>
      </c>
      <c r="C20" s="9" t="n">
        <f aca="false">SUMIFS(Stats!$Y:$Y,Stats!$A:$A,"Dismissal",Stats!$B:$B,$A20)</f>
        <v>231</v>
      </c>
      <c r="D20" s="8" t="n">
        <f aca="false">C20-B20</f>
        <v>0</v>
      </c>
      <c r="E20" s="8" t="s">
        <v>107</v>
      </c>
      <c r="F20" s="10"/>
      <c r="G20" s="8" t="str">
        <f aca="false">IF(D20=0,"OK","CHECK")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2026-10-24T04:21:27Z</dcterms:created>
  <dc:creator>openpyxl</dc:creator>
  <dc:description/>
  <dc:language>en-US</dc:language>
  <cp:lastModifiedBy/>
  <dcterms:modified xsi:type="dcterms:W3CDTF">2026-10-24T04:21:27Z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